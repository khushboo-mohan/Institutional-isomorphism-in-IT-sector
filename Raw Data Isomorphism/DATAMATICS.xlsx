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hushboomohan/Downloads/"/>
    </mc:Choice>
  </mc:AlternateContent>
  <xr:revisionPtr revIDLastSave="0" documentId="13_ncr:1_{3DBCA6A2-7745-5348-AEB1-022A854A553E}" xr6:coauthVersionLast="47" xr6:coauthVersionMax="47" xr10:uidLastSave="{00000000-0000-0000-0000-000000000000}"/>
  <bookViews>
    <workbookView xWindow="0" yWindow="660" windowWidth="29040" windowHeight="15720" firstSheet="4" activeTab="5" xr2:uid="{00000000-000D-0000-FFFF-FFFF00000000}"/>
  </bookViews>
  <sheets>
    <sheet name="Multiples" sheetId="2" r:id="rId1"/>
    <sheet name="Income - GAAP" sheetId="3" r:id="rId2"/>
    <sheet name="Bal Sheet - As Reported" sheetId="4" r:id="rId3"/>
    <sheet name="Bal Sheet - Common Size" sheetId="5" r:id="rId4"/>
    <sheet name="Cash Flow - As Reported" sheetId="6" r:id="rId5"/>
    <sheet name="Profitability" sheetId="7" r:id="rId6"/>
    <sheet name="Growth" sheetId="8" r:id="rId7"/>
    <sheet name="Enterprise Value" sheetId="9" r:id="rId8"/>
    <sheet name="Stock Value" sheetId="10" r:id="rId9"/>
    <sheet name="Earnings" sheetId="11" r:id="rId10"/>
    <sheet name="EV Ex Operating Leases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8" i="3" l="1" a="1"/>
  <c r="L58" i="3" a="1"/>
  <c r="Q58" i="3" a="1"/>
  <c r="R58" i="3" a="1"/>
  <c r="U58" i="3" a="1"/>
  <c r="X58" i="3" a="1"/>
  <c r="S58" i="3" a="1"/>
  <c r="M58" i="3" a="1"/>
  <c r="K58" i="3" a="1"/>
  <c r="V58" i="3" a="1"/>
  <c r="N58" i="3" a="1"/>
  <c r="W58" i="3" a="1"/>
  <c r="P58" i="3" a="1"/>
  <c r="O58" i="3" a="1"/>
  <c r="J58" i="3" a="1"/>
  <c r="C62" i="3" a="1"/>
  <c r="C57" i="3" a="1"/>
  <c r="C45" i="3" a="1"/>
  <c r="F58" i="3" a="1"/>
  <c r="I58" i="3" a="1"/>
  <c r="O45" i="3" a="1"/>
  <c r="H58" i="3" a="1"/>
  <c r="O57" i="3" a="1"/>
  <c r="O62" i="3" a="1"/>
  <c r="G58" i="3" a="1"/>
  <c r="Q45" i="3" a="1"/>
  <c r="W62" i="3" a="1"/>
  <c r="P57" i="3" a="1"/>
  <c r="W45" i="3" a="1"/>
  <c r="Q57" i="3" a="1"/>
  <c r="P45" i="3" a="1"/>
  <c r="W57" i="3" a="1"/>
  <c r="P62" i="3" a="1"/>
  <c r="Q62" i="3" a="1"/>
  <c r="E58" i="3" a="1"/>
  <c r="M62" i="3" a="1"/>
  <c r="R62" i="3" a="1"/>
  <c r="N57" i="3" a="1"/>
  <c r="J45" i="3" a="1"/>
  <c r="R45" i="3" a="1"/>
  <c r="N62" i="3" a="1"/>
  <c r="H62" i="3" a="1"/>
  <c r="V45" i="3" a="1"/>
  <c r="N45" i="3" a="1"/>
  <c r="D58" i="3" a="1"/>
  <c r="T45" i="3" a="1"/>
  <c r="X62" i="3" a="1"/>
  <c r="T57" i="3" a="1"/>
  <c r="X57" i="3" a="1"/>
  <c r="U45" i="3" a="1"/>
  <c r="I45" i="3" a="1"/>
  <c r="I62" i="3" a="1"/>
  <c r="X45" i="3" a="1"/>
  <c r="H57" i="3" a="1"/>
  <c r="V62" i="3" a="1"/>
  <c r="F62" i="3" a="1"/>
  <c r="V57" i="3" a="1"/>
  <c r="T62" i="3" a="1"/>
  <c r="G57" i="3" a="1"/>
  <c r="H45" i="3" a="1"/>
  <c r="I57" i="3" a="1"/>
  <c r="J57" i="3" a="1"/>
  <c r="J62" i="3" a="1"/>
  <c r="U62" i="3" a="1"/>
  <c r="S45" i="3" a="1"/>
  <c r="G62" i="3" a="1"/>
  <c r="K62" i="3" a="1"/>
  <c r="S57" i="3" a="1"/>
  <c r="G45" i="3" a="1"/>
  <c r="K57" i="3" a="1"/>
  <c r="S62" i="3" a="1"/>
  <c r="U57" i="3" a="1"/>
  <c r="K45" i="3" a="1"/>
  <c r="C58" i="3" a="1"/>
  <c r="F57" i="3" a="1"/>
  <c r="M45" i="3" a="1"/>
  <c r="F45" i="3" a="1"/>
  <c r="M57" i="3" a="1"/>
  <c r="R57" i="3" a="1"/>
  <c r="L57" i="3" a="1"/>
  <c r="X46" i="3" a="1"/>
  <c r="E57" i="3" a="1"/>
  <c r="X44" i="3" a="1"/>
  <c r="E62" i="3" a="1"/>
  <c r="W51" i="3" a="1"/>
  <c r="W49" i="3" a="1"/>
  <c r="X47" i="3" a="1"/>
  <c r="D45" i="3" a="1"/>
  <c r="W46" i="3" a="1"/>
  <c r="X63" i="3" a="1"/>
  <c r="L45" i="3" a="1"/>
  <c r="X51" i="3" a="1"/>
  <c r="D62" i="3" a="1"/>
  <c r="W47" i="3" a="1"/>
  <c r="W63" i="3" a="1"/>
  <c r="E45" i="3" a="1"/>
  <c r="W44" i="3" a="1"/>
  <c r="L62" i="3" a="1"/>
  <c r="X49" i="3" a="1"/>
  <c r="D57" i="3" a="1"/>
  <c r="V49" i="3" a="1"/>
  <c r="V51" i="3" a="1"/>
  <c r="V47" i="3" a="1"/>
  <c r="V44" i="3" a="1"/>
  <c r="V63" i="3" a="1"/>
  <c r="V46" i="3" a="1"/>
  <c r="U49" i="3" a="1"/>
  <c r="G44" i="3" a="1"/>
  <c r="G63" i="3" a="1"/>
  <c r="T51" i="3" a="1"/>
  <c r="T49" i="3" a="1"/>
  <c r="T47" i="3" a="1"/>
  <c r="G49" i="3" a="1"/>
  <c r="G51" i="3" a="1"/>
  <c r="G47" i="3" a="1"/>
  <c r="U46" i="3" a="1"/>
  <c r="U63" i="3" a="1"/>
  <c r="T63" i="3" a="1"/>
  <c r="T44" i="3" a="1"/>
  <c r="U44" i="3" a="1"/>
  <c r="U51" i="3" a="1"/>
  <c r="T46" i="3" a="1"/>
  <c r="U47" i="3" a="1"/>
  <c r="G46" i="3" a="1"/>
  <c r="O36" i="3" a="1"/>
  <c r="O37" i="3" a="1"/>
  <c r="T36" i="3" a="1"/>
  <c r="P51" i="3" a="1"/>
  <c r="P37" i="3" a="1"/>
  <c r="E44" i="3" a="1"/>
  <c r="R69" i="3" a="1"/>
  <c r="N47" i="3" a="1"/>
  <c r="N30" i="3" a="1"/>
  <c r="X32" i="3" a="1"/>
  <c r="S68" i="3" a="1"/>
  <c r="S28" i="3" a="1"/>
  <c r="W69" i="3" a="1"/>
  <c r="M44" i="3" a="1"/>
  <c r="O49" i="3" a="1"/>
  <c r="F47" i="3" a="1"/>
  <c r="U28" i="3" a="1"/>
  <c r="T28" i="3" a="1"/>
  <c r="P67" i="3" a="1"/>
  <c r="R32" i="3" a="1"/>
  <c r="N67" i="3" a="1"/>
  <c r="S27" i="3" a="1"/>
  <c r="W64" i="3" a="1"/>
  <c r="U68" i="3" a="1"/>
  <c r="T29" i="3" a="1"/>
  <c r="R68" i="3" a="1"/>
  <c r="Q63" i="3" a="1"/>
  <c r="W28" i="3" a="1"/>
  <c r="O47" i="3" a="1"/>
  <c r="U37" i="3" a="1"/>
  <c r="T31" i="3" a="1"/>
  <c r="P66" i="3" a="1"/>
  <c r="R66" i="3" a="1"/>
  <c r="Q49" i="3" a="1"/>
  <c r="L47" i="3" a="1"/>
  <c r="U36" i="3" a="1"/>
  <c r="D47" i="3" a="1"/>
  <c r="P36" i="3" a="1"/>
  <c r="N68" i="3" a="1"/>
  <c r="U66" i="3" a="1"/>
  <c r="H46" i="3" a="1"/>
  <c r="U32" i="3" a="1"/>
  <c r="T69" i="3" a="1"/>
  <c r="M46" i="3" a="1"/>
  <c r="P31" i="3" a="1"/>
  <c r="N28" i="3" a="1"/>
  <c r="M47" i="3" a="1"/>
  <c r="W65" i="3" a="1"/>
  <c r="T27" i="3" a="1"/>
  <c r="X66" i="3" a="1"/>
  <c r="O41" i="3" a="1"/>
  <c r="P29" i="3" a="1"/>
  <c r="R63" i="3" a="1"/>
  <c r="W66" i="3" a="1"/>
  <c r="L44" i="3" a="1"/>
  <c r="D49" i="3" a="1"/>
  <c r="S51" i="3" a="1"/>
  <c r="N27" i="3" a="1"/>
  <c r="S69" i="3" a="1"/>
  <c r="C44" i="3" a="1"/>
  <c r="O66" i="3" a="1"/>
  <c r="O65" i="3" a="1"/>
  <c r="T65" i="3" a="1"/>
  <c r="P49" i="3" a="1"/>
  <c r="P64" i="3" a="1"/>
  <c r="E46" i="3" a="1"/>
  <c r="R37" i="3" a="1"/>
  <c r="N44" i="3" a="1"/>
  <c r="N32" i="3" a="1"/>
  <c r="X69" i="3" a="1"/>
  <c r="S67" i="3" a="1"/>
  <c r="S31" i="3" a="1"/>
  <c r="W31" i="3" a="1"/>
  <c r="M63" i="3" a="1"/>
  <c r="O44" i="3" a="1"/>
  <c r="F49" i="3" a="1"/>
  <c r="U69" i="3" a="1"/>
  <c r="T37" i="3" a="1"/>
  <c r="P68" i="3" a="1"/>
  <c r="R31" i="3" a="1"/>
  <c r="Q51" i="3" a="1"/>
  <c r="X68" i="3" a="1"/>
  <c r="S41" i="3" a="1"/>
  <c r="O63" i="3" a="1"/>
  <c r="U64" i="3" a="1"/>
  <c r="T64" i="3" a="1"/>
  <c r="P41" i="3" a="1"/>
  <c r="R36" i="3" a="1"/>
  <c r="X27" i="3" a="1"/>
  <c r="S37" i="3" a="1"/>
  <c r="U27" i="3" a="1"/>
  <c r="O67" i="3" a="1"/>
  <c r="S63" i="3" a="1"/>
  <c r="H63" i="3" a="1"/>
  <c r="R51" i="3" a="1"/>
  <c r="X28" i="3" a="1"/>
  <c r="K47" i="3" a="1"/>
  <c r="M51" i="3" a="1"/>
  <c r="O31" i="3" a="1"/>
  <c r="H44" i="3" a="1"/>
  <c r="Q46" i="3" a="1"/>
  <c r="S42" i="3" a="1"/>
  <c r="S32" i="3" a="1"/>
  <c r="M49" i="3" a="1"/>
  <c r="T66" i="3" a="1"/>
  <c r="R64" i="3" a="1"/>
  <c r="X36" i="3" a="1"/>
  <c r="W27" i="3" a="1"/>
  <c r="O69" i="3" a="1"/>
  <c r="W36" i="3" a="1"/>
  <c r="D46" i="3" a="1"/>
  <c r="S65" i="3" a="1"/>
  <c r="R28" i="3" a="1"/>
  <c r="S30" i="3" a="1"/>
  <c r="P69" i="3" a="1"/>
  <c r="U65" i="3" a="1"/>
  <c r="O27" i="3" a="1"/>
  <c r="R47" i="3" a="1"/>
  <c r="W68" i="3" a="1"/>
  <c r="S46" i="3" a="1"/>
  <c r="O64" i="3" a="1"/>
  <c r="L46" i="3" a="1"/>
  <c r="N31" i="3" a="1"/>
  <c r="H49" i="3" a="1"/>
  <c r="X67" i="3" a="1"/>
  <c r="N64" i="3" a="1"/>
  <c r="S66" i="3" a="1"/>
  <c r="S44" i="3" a="1"/>
  <c r="R44" i="3" a="1"/>
  <c r="W41" i="3" a="1"/>
  <c r="D44" i="3" a="1"/>
  <c r="Q47" i="3" a="1"/>
  <c r="C63" i="3" a="1"/>
  <c r="R42" i="3" a="1"/>
  <c r="Q44" i="3" a="1"/>
  <c r="L51" i="3" a="1"/>
  <c r="O29" i="3" a="1"/>
  <c r="E49" i="3" a="1"/>
  <c r="N46" i="3" a="1"/>
  <c r="X37" i="3" a="1"/>
  <c r="W30" i="3" a="1"/>
  <c r="U31" i="3" a="1"/>
  <c r="O51" i="3" a="1"/>
  <c r="O42" i="3" a="1"/>
  <c r="D63" i="3" a="1"/>
  <c r="W37" i="3" a="1"/>
  <c r="D51" i="3" a="1"/>
  <c r="K46" i="3" a="1"/>
  <c r="L49" i="3" a="1"/>
  <c r="K51" i="3" a="1"/>
  <c r="I49" i="3" a="1"/>
  <c r="P28" i="3" a="1"/>
  <c r="P42" i="3" a="1"/>
  <c r="I51" i="3" a="1"/>
  <c r="P30" i="3" a="1"/>
  <c r="C49" i="3" a="1"/>
  <c r="U42" i="3" a="1"/>
  <c r="W42" i="3" a="1"/>
  <c r="P46" i="3" a="1"/>
  <c r="O46" i="3" a="1"/>
  <c r="X64" i="3" a="1"/>
  <c r="P44" i="3" a="1"/>
  <c r="L63" i="3" a="1"/>
  <c r="R41" i="3" a="1"/>
  <c r="P32" i="3" a="1"/>
  <c r="R29" i="3" a="1"/>
  <c r="T67" i="3" a="1"/>
  <c r="N36" i="3" a="1"/>
  <c r="F63" i="3" a="1"/>
  <c r="S29" i="3" a="1"/>
  <c r="F51" i="3" a="1"/>
  <c r="I47" i="3" a="1"/>
  <c r="H51" i="3" a="1"/>
  <c r="H47" i="3" a="1"/>
  <c r="X65" i="3" a="1"/>
  <c r="W32" i="3" a="1"/>
  <c r="C47" i="3" a="1"/>
  <c r="O32" i="3" a="1"/>
  <c r="E47" i="3" a="1"/>
  <c r="N69" i="3" a="1"/>
  <c r="X29" i="3" a="1"/>
  <c r="E51" i="3" a="1"/>
  <c r="K63" i="3" a="1"/>
  <c r="P63" i="3" a="1"/>
  <c r="N37" i="3" a="1"/>
  <c r="I44" i="3" a="1"/>
  <c r="R46" i="3" a="1"/>
  <c r="P65" i="3" a="1"/>
  <c r="X30" i="3" a="1"/>
  <c r="C51" i="3" a="1"/>
  <c r="C46" i="3" a="1"/>
  <c r="S47" i="3" a="1"/>
  <c r="P47" i="3" a="1"/>
  <c r="W29" i="3" a="1"/>
  <c r="N29" i="3" a="1"/>
  <c r="N41" i="3" a="1"/>
  <c r="O28" i="3" a="1"/>
  <c r="N66" i="3" a="1"/>
  <c r="P27" i="3" a="1"/>
  <c r="N42" i="3" a="1"/>
  <c r="K49" i="3" a="1"/>
  <c r="R65" i="3" a="1"/>
  <c r="T32" i="3" a="1"/>
  <c r="T42" i="3" a="1"/>
  <c r="R49" i="3" a="1"/>
  <c r="K44" i="3" a="1"/>
  <c r="U67" i="3" a="1"/>
  <c r="U30" i="3" a="1"/>
  <c r="F46" i="3" a="1"/>
  <c r="R67" i="3" a="1"/>
  <c r="F44" i="3" a="1"/>
  <c r="I46" i="3" a="1"/>
  <c r="S36" i="3" a="1"/>
  <c r="W67" i="3" a="1"/>
  <c r="T41" i="3" a="1"/>
  <c r="N65" i="3" a="1"/>
  <c r="U41" i="3" a="1"/>
  <c r="N49" i="3" a="1"/>
  <c r="U29" i="3" a="1"/>
  <c r="N51" i="3" a="1"/>
  <c r="S49" i="3" a="1"/>
  <c r="E63" i="3" a="1"/>
  <c r="O30" i="3" a="1"/>
  <c r="R30" i="3" a="1"/>
  <c r="I63" i="3" a="1"/>
  <c r="O68" i="3" a="1"/>
  <c r="S64" i="3" a="1"/>
  <c r="R27" i="3" a="1"/>
  <c r="T68" i="3" a="1"/>
  <c r="X42" i="3" a="1"/>
  <c r="X41" i="3" a="1"/>
  <c r="X31" i="3" a="1"/>
  <c r="T30" i="3" a="1"/>
  <c r="N63" i="3" a="1"/>
  <c r="J47" i="3" a="1"/>
  <c r="V28" i="3" a="1"/>
  <c r="Q37" i="3" a="1"/>
  <c r="M27" i="3" a="1"/>
  <c r="V69" i="3" a="1"/>
  <c r="Q28" i="3" a="1"/>
  <c r="M41" i="3" a="1"/>
  <c r="J44" i="3" a="1"/>
  <c r="M32" i="3" a="1"/>
  <c r="V64" i="3" a="1"/>
  <c r="J46" i="3" a="1"/>
  <c r="Q30" i="3" a="1"/>
  <c r="J63" i="3" a="1"/>
  <c r="V41" i="3" a="1"/>
  <c r="Q31" i="3" a="1"/>
  <c r="V31" i="3" a="1"/>
  <c r="M29" i="3" a="1"/>
  <c r="V37" i="3" a="1"/>
  <c r="V36" i="3" a="1"/>
  <c r="Q66" i="3" a="1"/>
  <c r="Q41" i="3" a="1"/>
  <c r="Q36" i="3" a="1"/>
  <c r="Q69" i="3" a="1"/>
  <c r="V30" i="3" a="1"/>
  <c r="M69" i="3" a="1"/>
  <c r="Q29" i="3" a="1"/>
  <c r="V68" i="3" a="1"/>
  <c r="M66" i="3" a="1"/>
  <c r="J51" i="3" a="1"/>
  <c r="V32" i="3" a="1"/>
  <c r="Q67" i="3" a="1"/>
  <c r="M65" i="3" a="1"/>
  <c r="Q32" i="3" a="1"/>
  <c r="M36" i="3" a="1"/>
  <c r="Q42" i="3" a="1"/>
  <c r="M28" i="3" a="1"/>
  <c r="V27" i="3" a="1"/>
  <c r="V65" i="3" a="1"/>
  <c r="Q68" i="3" a="1"/>
  <c r="V42" i="3" a="1"/>
  <c r="M30" i="3" a="1"/>
  <c r="M67" i="3" a="1"/>
  <c r="V29" i="3" a="1"/>
  <c r="M31" i="3" a="1"/>
  <c r="Q27" i="3" a="1"/>
  <c r="J49" i="3" a="1"/>
  <c r="V66" i="3" a="1"/>
  <c r="M37" i="3" a="1"/>
  <c r="Q65" i="3" a="1"/>
  <c r="M68" i="3" a="1"/>
  <c r="V67" i="3" a="1"/>
  <c r="M42" i="3" a="1"/>
  <c r="M64" i="3" a="1"/>
  <c r="Q64" i="3" a="1"/>
  <c r="I41" i="3" a="1"/>
  <c r="I31" i="3" a="1"/>
  <c r="I37" i="3" a="1"/>
  <c r="I66" i="3" a="1"/>
  <c r="I30" i="3" a="1"/>
  <c r="I29" i="3" a="1"/>
  <c r="I28" i="3" a="1"/>
  <c r="I68" i="3" a="1"/>
  <c r="I42" i="3" a="1"/>
  <c r="I27" i="3" a="1"/>
  <c r="I32" i="3" a="1"/>
  <c r="I65" i="3" a="1"/>
  <c r="I64" i="3" a="1"/>
  <c r="I67" i="3" a="1"/>
  <c r="I69" i="3" a="1"/>
  <c r="I36" i="3" a="1"/>
  <c r="O23" i="3" a="1"/>
  <c r="O24" i="3" a="1"/>
  <c r="S14" i="3" a="1"/>
  <c r="S19" i="3" a="1"/>
  <c r="E18" i="3" a="1"/>
  <c r="N24" i="3" a="1"/>
  <c r="N14" i="3" a="1"/>
  <c r="C16" i="3" a="1"/>
  <c r="X21" i="3" a="1"/>
  <c r="X10" i="3" a="1"/>
  <c r="H17" i="3" a="1"/>
  <c r="V17" i="3" a="1"/>
  <c r="G66" i="3" a="1"/>
  <c r="G28" i="3" a="1"/>
  <c r="T14" i="3" a="1"/>
  <c r="V20" i="3" a="1"/>
  <c r="T10" i="3" a="1"/>
  <c r="K21" i="3" a="1"/>
  <c r="K26" i="3" a="1"/>
  <c r="K24" i="3" a="1"/>
  <c r="D13" i="3" a="1"/>
  <c r="D7" i="3" a="1"/>
  <c r="D22" i="3" a="1"/>
  <c r="M15" i="3" a="1"/>
  <c r="F19" i="3" a="1"/>
  <c r="C41" i="3" a="1"/>
  <c r="E28" i="3" a="1"/>
  <c r="Q35" i="3" a="1"/>
  <c r="Q11" i="3" a="1"/>
  <c r="D32" i="3" a="1"/>
  <c r="R10" i="3" a="1"/>
  <c r="R21" i="3" a="1"/>
  <c r="N8" i="3" a="1"/>
  <c r="C19" i="3" a="1"/>
  <c r="X20" i="3" a="1"/>
  <c r="X35" i="3" a="1"/>
  <c r="G68" i="3" a="1"/>
  <c r="T24" i="3" a="1"/>
  <c r="V10" i="3" a="1"/>
  <c r="T20" i="3" a="1"/>
  <c r="K34" i="3" a="1"/>
  <c r="J16" i="3" a="1"/>
  <c r="S10" i="3" a="1"/>
  <c r="G31" i="3" a="1"/>
  <c r="D35" i="3" a="1"/>
  <c r="M22" i="3" a="1"/>
  <c r="M9" i="3" a="1"/>
  <c r="F23" i="3" a="1"/>
  <c r="C32" i="3" a="1"/>
  <c r="E65" i="3" a="1"/>
  <c r="Q7" i="3" a="1"/>
  <c r="D67" i="3" a="1"/>
  <c r="R35" i="3" a="1"/>
  <c r="M19" i="3" a="1"/>
  <c r="C37" i="3" a="1"/>
  <c r="Q26" i="3" a="1"/>
  <c r="R20" i="3" a="1"/>
  <c r="N35" i="3" a="1"/>
  <c r="H15" i="3" a="1"/>
  <c r="K35" i="3" a="1"/>
  <c r="F12" i="3" a="1"/>
  <c r="E27" i="3" a="1"/>
  <c r="R18" i="3" a="1"/>
  <c r="S16" i="3" a="1"/>
  <c r="O9" i="3" a="1"/>
  <c r="O15" i="3" a="1"/>
  <c r="S17" i="3" a="1"/>
  <c r="E24" i="3" a="1"/>
  <c r="N21" i="3" a="1"/>
  <c r="H22" i="3" a="1"/>
  <c r="V21" i="3" a="1"/>
  <c r="J15" i="3" a="1"/>
  <c r="D23" i="3" a="1"/>
  <c r="Q10" i="3" a="1"/>
  <c r="R12" i="3" a="1"/>
  <c r="M16" i="3" a="1"/>
  <c r="R26" i="3" a="1"/>
  <c r="O13" i="3" a="1"/>
  <c r="C10" i="3" a="1"/>
  <c r="D16" i="3" a="1"/>
  <c r="D42" i="3" a="1"/>
  <c r="O22" i="3" a="1"/>
  <c r="K22" i="3" a="1"/>
  <c r="F15" i="3" a="1"/>
  <c r="Q20" i="3" a="1"/>
  <c r="E33" i="3" a="1"/>
  <c r="X33" i="3" a="1"/>
  <c r="H35" i="3" a="1"/>
  <c r="L26" i="3" a="1"/>
  <c r="T19" i="3" a="1"/>
  <c r="V12" i="3" a="1"/>
  <c r="K8" i="3" a="1"/>
  <c r="F9" i="3" a="1"/>
  <c r="E29" i="3" a="1"/>
  <c r="Q15" i="3" a="1"/>
  <c r="D27" i="3" a="1"/>
  <c r="O7" i="3" a="1"/>
  <c r="C13" i="3" a="1"/>
  <c r="T16" i="3" a="1"/>
  <c r="T17" i="3" a="1"/>
  <c r="J17" i="3" a="1"/>
  <c r="C66" i="3" a="1"/>
  <c r="O35" i="3" a="1"/>
  <c r="C26" i="3" a="1"/>
  <c r="K7" i="3" a="1"/>
  <c r="D17" i="3" a="1"/>
  <c r="Q22" i="3" a="1"/>
  <c r="O16" i="3" a="1"/>
  <c r="O10" i="3" a="1"/>
  <c r="S33" i="3" a="1"/>
  <c r="E13" i="3" a="1"/>
  <c r="N22" i="3" a="1"/>
  <c r="N18" i="3" a="1"/>
  <c r="C20" i="3" a="1"/>
  <c r="X17" i="3" a="1"/>
  <c r="G32" i="3" a="1"/>
  <c r="L9" i="3" a="1"/>
  <c r="L11" i="3" a="1"/>
  <c r="K23" i="3" a="1"/>
  <c r="K18" i="3" a="1"/>
  <c r="D12" i="3" a="1"/>
  <c r="F20" i="3" a="1"/>
  <c r="R13" i="3" a="1"/>
  <c r="E16" i="3" a="1"/>
  <c r="X15" i="3" a="1"/>
  <c r="T9" i="3" a="1"/>
  <c r="C34" i="3" a="1"/>
  <c r="H18" i="3" a="1"/>
  <c r="T11" i="3" a="1"/>
  <c r="M24" i="3" a="1"/>
  <c r="C28" i="3" a="1"/>
  <c r="X26" i="3" a="1"/>
  <c r="V7" i="3" a="1"/>
  <c r="T23" i="3" a="1"/>
  <c r="L17" i="3" a="1"/>
  <c r="K17" i="3" a="1"/>
  <c r="M21" i="3" a="1"/>
  <c r="D11" i="3" a="1"/>
  <c r="F22" i="3" a="1"/>
  <c r="E66" i="3" a="1"/>
  <c r="Q12" i="3" a="1"/>
  <c r="D41" i="3" a="1"/>
  <c r="R14" i="3" a="1"/>
  <c r="S26" i="3" a="1"/>
  <c r="X12" i="3" a="1"/>
  <c r="V19" i="3" a="1"/>
  <c r="V22" i="3" a="1"/>
  <c r="D15" i="3" a="1"/>
  <c r="Q24" i="3" a="1"/>
  <c r="E26" i="3" a="1"/>
  <c r="N9" i="3" a="1"/>
  <c r="X9" i="3" a="1"/>
  <c r="V8" i="3" a="1"/>
  <c r="L21" i="3" a="1"/>
  <c r="K19" i="3" a="1"/>
  <c r="D14" i="3" a="1"/>
  <c r="F33" i="3" a="1"/>
  <c r="E67" i="3" a="1"/>
  <c r="O33" i="3" a="1"/>
  <c r="O17" i="3" a="1"/>
  <c r="S12" i="3" a="1"/>
  <c r="E17" i="3" a="1"/>
  <c r="E10" i="3" a="1"/>
  <c r="N15" i="3" a="1"/>
  <c r="N33" i="3" a="1"/>
  <c r="C22" i="3" a="1"/>
  <c r="X22" i="3" a="1"/>
  <c r="H33" i="3" a="1"/>
  <c r="V34" i="3" a="1"/>
  <c r="L34" i="3" a="1"/>
  <c r="L13" i="3" a="1"/>
  <c r="J9" i="3" a="1"/>
  <c r="J21" i="3" a="1"/>
  <c r="M10" i="3" a="1"/>
  <c r="F13" i="3" a="1"/>
  <c r="C69" i="3" a="1"/>
  <c r="Q13" i="3" a="1"/>
  <c r="E20" i="3" a="1"/>
  <c r="G42" i="3" a="1"/>
  <c r="J12" i="3" a="1"/>
  <c r="M17" i="3" a="1"/>
  <c r="F24" i="3" a="1"/>
  <c r="Q8" i="3" a="1"/>
  <c r="E8" i="3" a="1"/>
  <c r="X11" i="3" a="1"/>
  <c r="G30" i="3" a="1"/>
  <c r="L15" i="3" a="1"/>
  <c r="L7" i="3" a="1"/>
  <c r="O20" i="3" a="1"/>
  <c r="S9" i="3" a="1"/>
  <c r="S15" i="3" a="1"/>
  <c r="E23" i="3" a="1"/>
  <c r="E34" i="3" a="1"/>
  <c r="N13" i="3" a="1"/>
  <c r="C17" i="3" a="1"/>
  <c r="C35" i="3" a="1"/>
  <c r="X19" i="3" a="1"/>
  <c r="H26" i="3" a="1"/>
  <c r="H21" i="3" a="1"/>
  <c r="V23" i="3" a="1"/>
  <c r="V18" i="3" a="1"/>
  <c r="T7" i="3" a="1"/>
  <c r="L20" i="3" a="1"/>
  <c r="L8" i="3" a="1"/>
  <c r="T34" i="3" a="1"/>
  <c r="K20" i="3" a="1"/>
  <c r="K10" i="3" a="1"/>
  <c r="J34" i="3" a="1"/>
  <c r="D10" i="3" a="1"/>
  <c r="M14" i="3" a="1"/>
  <c r="D20" i="3" a="1"/>
  <c r="F11" i="3" a="1"/>
  <c r="F35" i="3" a="1"/>
  <c r="C65" i="3" a="1"/>
  <c r="E41" i="3" a="1"/>
  <c r="Q33" i="3" a="1"/>
  <c r="D65" i="3" a="1"/>
  <c r="D69" i="3" a="1"/>
  <c r="R22" i="3" a="1"/>
  <c r="O11" i="3" a="1"/>
  <c r="S22" i="3" a="1"/>
  <c r="S11" i="3" a="1"/>
  <c r="E19" i="3" a="1"/>
  <c r="E22" i="3" a="1"/>
  <c r="N11" i="3" a="1"/>
  <c r="C7" i="3" a="1"/>
  <c r="C14" i="3" a="1"/>
  <c r="H19" i="3" a="1"/>
  <c r="H14" i="3" a="1"/>
  <c r="G67" i="3" a="1"/>
  <c r="L12" i="3" a="1"/>
  <c r="L22" i="3" a="1"/>
  <c r="T8" i="3" a="1"/>
  <c r="L19" i="3" a="1"/>
  <c r="T15" i="3" a="1"/>
  <c r="K13" i="3" a="1"/>
  <c r="K11" i="3" a="1"/>
  <c r="J18" i="3" a="1"/>
  <c r="D19" i="3" a="1"/>
  <c r="M23" i="3" a="1"/>
  <c r="D9" i="3" a="1"/>
  <c r="F18" i="3" a="1"/>
  <c r="F10" i="3" a="1"/>
  <c r="C67" i="3" a="1"/>
  <c r="E36" i="3" a="1"/>
  <c r="Q17" i="3" a="1"/>
  <c r="D31" i="3" a="1"/>
  <c r="D37" i="3" a="1"/>
  <c r="X34" i="3" a="1"/>
  <c r="O8" i="3" a="1"/>
  <c r="S34" i="3" a="1"/>
  <c r="S7" i="3" a="1"/>
  <c r="E15" i="3" a="1"/>
  <c r="N34" i="3" a="1"/>
  <c r="N17" i="3" a="1"/>
  <c r="C12" i="3" a="1"/>
  <c r="C23" i="3" a="1"/>
  <c r="X23" i="3" a="1"/>
  <c r="H8" i="3" a="1"/>
  <c r="H23" i="3" a="1"/>
  <c r="V16" i="3" a="1"/>
  <c r="G64" i="3" a="1"/>
  <c r="G69" i="3" a="1"/>
  <c r="V35" i="3" a="1"/>
  <c r="L18" i="3" a="1"/>
  <c r="L23" i="3" a="1"/>
  <c r="J19" i="3" a="1"/>
  <c r="K12" i="3" a="1"/>
  <c r="J14" i="3" a="1"/>
  <c r="M11" i="3" a="1"/>
  <c r="M26" i="3" a="1"/>
  <c r="M8" i="3" a="1"/>
  <c r="F8" i="3" a="1"/>
  <c r="C64" i="3" a="1"/>
  <c r="C36" i="3" a="1"/>
  <c r="E31" i="3" a="1"/>
  <c r="Q19" i="3" a="1"/>
  <c r="D66" i="3" a="1"/>
  <c r="R11" i="3" a="1"/>
  <c r="R9" i="3" a="1"/>
  <c r="O14" i="3" a="1"/>
  <c r="S21" i="3" a="1"/>
  <c r="E35" i="3" a="1"/>
  <c r="H10" i="3" a="1"/>
  <c r="K15" i="3" a="1"/>
  <c r="M12" i="3" a="1"/>
  <c r="Q18" i="3" a="1"/>
  <c r="E32" i="3" a="1"/>
  <c r="O34" i="3" a="1"/>
  <c r="X16" i="3" a="1"/>
  <c r="C42" i="3" a="1"/>
  <c r="C30" i="3" a="1"/>
  <c r="M35" i="3" a="1"/>
  <c r="Q14" i="3" a="1"/>
  <c r="D24" i="3" a="1"/>
  <c r="S24" i="3" a="1"/>
  <c r="C24" i="3" a="1"/>
  <c r="G41" i="3" a="1"/>
  <c r="V33" i="3" a="1"/>
  <c r="R33" i="3" a="1"/>
  <c r="O12" i="3" a="1"/>
  <c r="S18" i="3" a="1"/>
  <c r="N19" i="3" a="1"/>
  <c r="T26" i="3" a="1"/>
  <c r="L16" i="3" a="1"/>
  <c r="F26" i="3" a="1"/>
  <c r="R19" i="3" a="1"/>
  <c r="C9" i="3" a="1"/>
  <c r="L35" i="3" a="1"/>
  <c r="C18" i="3" a="1"/>
  <c r="D28" i="3" a="1"/>
  <c r="K16" i="3" a="1"/>
  <c r="E9" i="3" a="1"/>
  <c r="G27" i="3" a="1"/>
  <c r="H13" i="3" a="1"/>
  <c r="G37" i="3" a="1"/>
  <c r="C33" i="3" a="1"/>
  <c r="N16" i="3" a="1"/>
  <c r="T35" i="3" a="1"/>
  <c r="S23" i="3" a="1"/>
  <c r="V14" i="3" a="1"/>
  <c r="C27" i="3" a="1"/>
  <c r="D33" i="3" a="1"/>
  <c r="E68" i="3" a="1"/>
  <c r="X7" i="3" a="1"/>
  <c r="H16" i="3" a="1"/>
  <c r="J11" i="3" a="1"/>
  <c r="D21" i="3" a="1"/>
  <c r="D64" i="3" a="1"/>
  <c r="F14" i="3" a="1"/>
  <c r="E42" i="3" a="1"/>
  <c r="E37" i="3" a="1"/>
  <c r="G65" i="3" a="1"/>
  <c r="D34" i="3" a="1"/>
  <c r="L10" i="3" a="1"/>
  <c r="D36" i="3" a="1"/>
  <c r="C11" i="3" a="1"/>
  <c r="R8" i="3" a="1"/>
  <c r="Q21" i="3" a="1"/>
  <c r="J13" i="3" a="1"/>
  <c r="N7" i="3" a="1"/>
  <c r="K33" i="3" a="1"/>
  <c r="M34" i="3" a="1"/>
  <c r="C68" i="3" a="1"/>
  <c r="Q34" i="3" a="1"/>
  <c r="M7" i="3" a="1"/>
  <c r="X14" i="3" a="1"/>
  <c r="Q16" i="3" a="1"/>
  <c r="N26" i="3" a="1"/>
  <c r="F21" i="3" a="1"/>
  <c r="O26" i="3" a="1"/>
  <c r="N20" i="3" a="1"/>
  <c r="T12" i="3" a="1"/>
  <c r="T13" i="3" a="1"/>
  <c r="R23" i="3" a="1"/>
  <c r="X24" i="3" a="1"/>
  <c r="F16" i="3" a="1"/>
  <c r="E11" i="3" a="1"/>
  <c r="J20" i="3" a="1"/>
  <c r="L33" i="3" a="1"/>
  <c r="H11" i="3" a="1"/>
  <c r="D18" i="3" a="1"/>
  <c r="S8" i="3" a="1"/>
  <c r="J26" i="3" a="1"/>
  <c r="L14" i="3" a="1"/>
  <c r="H7" i="3" a="1"/>
  <c r="R17" i="3" a="1"/>
  <c r="H9" i="3" a="1"/>
  <c r="R24" i="3" a="1"/>
  <c r="R34" i="3" a="1"/>
  <c r="R7" i="3" a="1"/>
  <c r="E14" i="3" a="1"/>
  <c r="X13" i="3" a="1"/>
  <c r="H24" i="3" a="1"/>
  <c r="J23" i="3" a="1"/>
  <c r="D68" i="3" a="1"/>
  <c r="M18" i="3" a="1"/>
  <c r="D30" i="3" a="1"/>
  <c r="E21" i="3" a="1"/>
  <c r="G36" i="3" a="1"/>
  <c r="M13" i="3" a="1"/>
  <c r="C15" i="3" a="1"/>
  <c r="H12" i="3" a="1"/>
  <c r="R15" i="3" a="1"/>
  <c r="L24" i="3" a="1"/>
  <c r="S35" i="3" a="1"/>
  <c r="J22" i="3" a="1"/>
  <c r="C29" i="3" a="1"/>
  <c r="V13" i="3" a="1"/>
  <c r="M20" i="3" a="1"/>
  <c r="X18" i="3" a="1"/>
  <c r="N12" i="3" a="1"/>
  <c r="T21" i="3" a="1"/>
  <c r="M33" i="3" a="1"/>
  <c r="F7" i="3" a="1"/>
  <c r="E30" i="3" a="1"/>
  <c r="D29" i="3" a="1"/>
  <c r="G29" i="3" a="1"/>
  <c r="F34" i="3" a="1"/>
  <c r="K9" i="3" a="1"/>
  <c r="E64" i="3" a="1"/>
  <c r="F17" i="3" a="1"/>
  <c r="V26" i="3" a="1"/>
  <c r="K14" i="3" a="1"/>
  <c r="N10" i="3" a="1"/>
  <c r="C8" i="3" a="1"/>
  <c r="J7" i="3" a="1"/>
  <c r="J35" i="3" a="1"/>
  <c r="H20" i="3" a="1"/>
  <c r="N23" i="3" a="1"/>
  <c r="H34" i="3" a="1"/>
  <c r="O21" i="3" a="1"/>
  <c r="E12" i="3" a="1"/>
  <c r="X8" i="3" a="1"/>
  <c r="T33" i="3" a="1"/>
  <c r="J10" i="3" a="1"/>
  <c r="V15" i="3" a="1"/>
  <c r="T22" i="3" a="1"/>
  <c r="O18" i="3" a="1"/>
  <c r="E69" i="3" a="1"/>
  <c r="O19" i="3" a="1"/>
  <c r="J8" i="3" a="1"/>
  <c r="T18" i="3" a="1"/>
  <c r="J24" i="3" a="1"/>
  <c r="S20" i="3" a="1"/>
  <c r="Q23" i="3" a="1"/>
  <c r="C31" i="3" a="1"/>
  <c r="R16" i="3" a="1"/>
  <c r="V24" i="3" a="1"/>
  <c r="Q9" i="3" a="1"/>
  <c r="D8" i="3" a="1"/>
  <c r="V9" i="3" a="1"/>
  <c r="E7" i="3" a="1"/>
  <c r="C21" i="3" a="1"/>
  <c r="V11" i="3" a="1"/>
  <c r="D26" i="3" a="1"/>
  <c r="J33" i="3" a="1"/>
  <c r="S13" i="3" a="1"/>
  <c r="U23" i="3" a="1"/>
  <c r="U35" i="3" a="1"/>
  <c r="F69" i="3" a="1"/>
  <c r="W23" i="3" a="1"/>
  <c r="H42" i="3" a="1"/>
  <c r="H67" i="3" a="1"/>
  <c r="K28" i="3" a="1"/>
  <c r="J41" i="3" a="1"/>
  <c r="J66" i="3" a="1"/>
  <c r="I21" i="3" a="1"/>
  <c r="I15" i="3" a="1"/>
  <c r="P10" i="3" a="1"/>
  <c r="G35" i="3" a="1"/>
  <c r="G21" i="3" a="1"/>
  <c r="G7" i="3" a="1"/>
  <c r="J69" i="3" a="1"/>
  <c r="I12" i="3" a="1"/>
  <c r="I14" i="3" a="1"/>
  <c r="G18" i="3" a="1"/>
  <c r="P34" i="3" a="1"/>
  <c r="I34" i="3" a="1"/>
  <c r="P11" i="3" a="1"/>
  <c r="I24" i="3" a="1"/>
  <c r="G19" i="3" a="1"/>
  <c r="G9" i="3" a="1"/>
  <c r="W17" i="3" a="1"/>
  <c r="G13" i="3" a="1"/>
  <c r="U9" i="3" a="1"/>
  <c r="U15" i="3" a="1"/>
  <c r="F37" i="3" a="1"/>
  <c r="W19" i="3" a="1"/>
  <c r="H30" i="3" a="1"/>
  <c r="H31" i="3" a="1"/>
  <c r="K36" i="3" a="1"/>
  <c r="J67" i="3" a="1"/>
  <c r="J31" i="3" a="1"/>
  <c r="I20" i="3" a="1"/>
  <c r="G16" i="3" a="1"/>
  <c r="P12" i="3" a="1"/>
  <c r="H32" i="3" a="1"/>
  <c r="W14" i="3" a="1"/>
  <c r="L27" i="3" a="1"/>
  <c r="I17" i="3" a="1"/>
  <c r="H36" i="3" a="1"/>
  <c r="L28" i="3" a="1"/>
  <c r="P7" i="3" a="1"/>
  <c r="G15" i="3" a="1"/>
  <c r="G26" i="3" a="1"/>
  <c r="L66" i="3" a="1"/>
  <c r="I9" i="3" a="1"/>
  <c r="J36" i="3" a="1"/>
  <c r="P14" i="3" a="1"/>
  <c r="K37" i="3" a="1"/>
  <c r="P17" i="3" a="1"/>
  <c r="U10" i="3" a="1"/>
  <c r="U8" i="3" a="1"/>
  <c r="F64" i="3" a="1"/>
  <c r="W24" i="3" a="1"/>
  <c r="H64" i="3" a="1"/>
  <c r="K32" i="3" a="1"/>
  <c r="G24" i="3" a="1"/>
  <c r="I13" i="3" a="1"/>
  <c r="G34" i="3" a="1"/>
  <c r="H28" i="3" a="1"/>
  <c r="L64" i="3" a="1"/>
  <c r="J32" i="3" a="1"/>
  <c r="J30" i="3" a="1"/>
  <c r="I23" i="3" a="1"/>
  <c r="U24" i="3" a="1"/>
  <c r="H41" i="3" a="1"/>
  <c r="L68" i="3" a="1"/>
  <c r="J68" i="3" a="1"/>
  <c r="I7" i="3" a="1"/>
  <c r="L42" i="3" a="1"/>
  <c r="W22" i="3" a="1"/>
  <c r="I8" i="3" a="1"/>
  <c r="G33" i="3" a="1"/>
  <c r="H37" i="3" a="1"/>
  <c r="I33" i="3" a="1"/>
  <c r="U26" i="3" a="1"/>
  <c r="F28" i="3" a="1"/>
  <c r="W33" i="3" a="1"/>
  <c r="W10" i="3" a="1"/>
  <c r="K68" i="3" a="1"/>
  <c r="G11" i="3" a="1"/>
  <c r="K65" i="3" a="1"/>
  <c r="I11" i="3" a="1"/>
  <c r="G17" i="3" a="1"/>
  <c r="P22" i="3" a="1"/>
  <c r="I10" i="3" a="1"/>
  <c r="K67" i="3" a="1"/>
  <c r="P26" i="3" a="1"/>
  <c r="G10" i="3" a="1"/>
  <c r="J29" i="3" a="1"/>
  <c r="U22" i="3" a="1"/>
  <c r="U34" i="3" a="1"/>
  <c r="F29" i="3" a="1"/>
  <c r="W20" i="3" a="1"/>
  <c r="L65" i="3" a="1"/>
  <c r="U20" i="3" a="1"/>
  <c r="U11" i="3" a="1"/>
  <c r="F65" i="3" a="1"/>
  <c r="W13" i="3" a="1"/>
  <c r="H29" i="3" a="1"/>
  <c r="H65" i="3" a="1"/>
  <c r="W15" i="3" a="1"/>
  <c r="L41" i="3" a="1"/>
  <c r="P23" i="3" a="1"/>
  <c r="P18" i="3" a="1"/>
  <c r="U19" i="3" a="1"/>
  <c r="L67" i="3" a="1"/>
  <c r="I26" i="3" a="1"/>
  <c r="P21" i="3" a="1"/>
  <c r="P24" i="3" a="1"/>
  <c r="G8" i="3" a="1"/>
  <c r="G23" i="3" a="1"/>
  <c r="P20" i="3" a="1"/>
  <c r="P16" i="3" a="1"/>
  <c r="U12" i="3" a="1"/>
  <c r="F67" i="3" a="1"/>
  <c r="W9" i="3" a="1"/>
  <c r="H27" i="3" a="1"/>
  <c r="K27" i="3" a="1"/>
  <c r="K42" i="3" a="1"/>
  <c r="L30" i="3" a="1"/>
  <c r="P9" i="3" a="1"/>
  <c r="G14" i="3" a="1"/>
  <c r="L37" i="3" a="1"/>
  <c r="I22" i="3" a="1"/>
  <c r="K29" i="3" a="1"/>
  <c r="U18" i="3" a="1"/>
  <c r="F42" i="3" a="1"/>
  <c r="W7" i="3" a="1"/>
  <c r="H66" i="3" a="1"/>
  <c r="K31" i="3" a="1"/>
  <c r="K30" i="3" a="1"/>
  <c r="J27" i="3" a="1"/>
  <c r="L32" i="3" a="1"/>
  <c r="I16" i="3" a="1"/>
  <c r="G20" i="3" a="1"/>
  <c r="P35" i="3" a="1"/>
  <c r="L29" i="3" a="1"/>
  <c r="P15" i="3" a="1"/>
  <c r="F68" i="3" a="1"/>
  <c r="L36" i="3" a="1"/>
  <c r="P33" i="3" a="1"/>
  <c r="U16" i="3" a="1"/>
  <c r="U33" i="3" a="1"/>
  <c r="F27" i="3" a="1"/>
  <c r="H69" i="3" a="1"/>
  <c r="K66" i="3" a="1"/>
  <c r="J28" i="3" a="1"/>
  <c r="I18" i="3" a="1"/>
  <c r="G12" i="3" a="1"/>
  <c r="F30" i="3" a="1"/>
  <c r="W8" i="3" a="1"/>
  <c r="J37" i="3" a="1"/>
  <c r="I35" i="3" a="1"/>
  <c r="P13" i="3" a="1"/>
  <c r="F66" i="3" a="1"/>
  <c r="F36" i="3" a="1"/>
  <c r="F41" i="3" a="1"/>
  <c r="P19" i="3" a="1"/>
  <c r="L31" i="3" a="1"/>
  <c r="U17" i="3" a="1"/>
  <c r="W11" i="3" a="1"/>
  <c r="W35" i="3" a="1"/>
  <c r="K41" i="3" a="1"/>
  <c r="J64" i="3" a="1"/>
  <c r="I19" i="3" a="1"/>
  <c r="J65" i="3" a="1"/>
  <c r="U21" i="3" a="1"/>
  <c r="W34" i="3" a="1"/>
  <c r="U7" i="3" a="1"/>
  <c r="W16" i="3" a="1"/>
  <c r="H68" i="3" a="1"/>
  <c r="W12" i="3" a="1"/>
  <c r="K64" i="3" a="1"/>
  <c r="L69" i="3" a="1"/>
  <c r="J42" i="3" a="1"/>
  <c r="P8" i="3" a="1"/>
  <c r="F31" i="3" a="1"/>
  <c r="F32" i="3" a="1"/>
  <c r="W26" i="3" a="1"/>
  <c r="K69" i="3" a="1"/>
  <c r="U14" i="3" a="1"/>
  <c r="W18" i="3" a="1"/>
  <c r="W21" i="3" a="1"/>
  <c r="G22" i="3" a="1"/>
  <c r="U13" i="3" a="1"/>
  <c r="C6" i="3" a="1"/>
  <c r="T58" i="3" l="1"/>
  <c r="L58" i="3"/>
  <c r="X58" i="3"/>
  <c r="U58" i="3"/>
  <c r="R58" i="3"/>
  <c r="Q58" i="3"/>
  <c r="W58" i="3"/>
  <c r="N58" i="3"/>
  <c r="V58" i="3"/>
  <c r="K58" i="3"/>
  <c r="M58" i="3"/>
  <c r="S58" i="3"/>
  <c r="O58" i="3"/>
  <c r="P58" i="3"/>
  <c r="J58" i="3"/>
  <c r="F58" i="3"/>
  <c r="C45" i="3"/>
  <c r="C57" i="3"/>
  <c r="C62" i="3"/>
  <c r="I58" i="3"/>
  <c r="O62" i="3"/>
  <c r="O57" i="3"/>
  <c r="H58" i="3"/>
  <c r="O45" i="3"/>
  <c r="Q62" i="3"/>
  <c r="P62" i="3"/>
  <c r="W57" i="3"/>
  <c r="P45" i="3"/>
  <c r="Q57" i="3"/>
  <c r="W45" i="3"/>
  <c r="P57" i="3"/>
  <c r="W62" i="3"/>
  <c r="Q45" i="3"/>
  <c r="G58" i="3"/>
  <c r="R57" i="3"/>
  <c r="M57" i="3"/>
  <c r="F45" i="3"/>
  <c r="M45" i="3"/>
  <c r="F57" i="3"/>
  <c r="C58" i="3"/>
  <c r="K45" i="3"/>
  <c r="U57" i="3"/>
  <c r="S62" i="3"/>
  <c r="K57" i="3"/>
  <c r="G45" i="3"/>
  <c r="S57" i="3"/>
  <c r="K62" i="3"/>
  <c r="G62" i="3"/>
  <c r="S45" i="3"/>
  <c r="U62" i="3"/>
  <c r="J62" i="3"/>
  <c r="J57" i="3"/>
  <c r="I57" i="3"/>
  <c r="H45" i="3"/>
  <c r="G57" i="3"/>
  <c r="T62" i="3"/>
  <c r="V57" i="3"/>
  <c r="F62" i="3"/>
  <c r="V62" i="3"/>
  <c r="H57" i="3"/>
  <c r="X45" i="3"/>
  <c r="I62" i="3"/>
  <c r="I45" i="3"/>
  <c r="U45" i="3"/>
  <c r="X57" i="3"/>
  <c r="T57" i="3"/>
  <c r="X62" i="3"/>
  <c r="T45" i="3"/>
  <c r="D58" i="3"/>
  <c r="N45" i="3"/>
  <c r="V45" i="3"/>
  <c r="H62" i="3"/>
  <c r="N62" i="3"/>
  <c r="R45" i="3"/>
  <c r="J45" i="3"/>
  <c r="N57" i="3"/>
  <c r="R62" i="3"/>
  <c r="M62" i="3"/>
  <c r="E58" i="3"/>
  <c r="D57" i="3"/>
  <c r="X49" i="3"/>
  <c r="L62" i="3"/>
  <c r="W44" i="3"/>
  <c r="E45" i="3"/>
  <c r="W63" i="3"/>
  <c r="W47" i="3"/>
  <c r="D62" i="3"/>
  <c r="X51" i="3"/>
  <c r="L45" i="3"/>
  <c r="X63" i="3"/>
  <c r="W46" i="3"/>
  <c r="D45" i="3"/>
  <c r="X47" i="3"/>
  <c r="W49" i="3"/>
  <c r="W51" i="3"/>
  <c r="E62" i="3"/>
  <c r="X44" i="3"/>
  <c r="E57" i="3"/>
  <c r="X46" i="3"/>
  <c r="L57" i="3"/>
  <c r="V46" i="3"/>
  <c r="V63" i="3"/>
  <c r="V44" i="3"/>
  <c r="V47" i="3"/>
  <c r="V51" i="3"/>
  <c r="V49" i="3"/>
  <c r="G46" i="3"/>
  <c r="U47" i="3"/>
  <c r="T46" i="3"/>
  <c r="U51" i="3"/>
  <c r="U44" i="3"/>
  <c r="T44" i="3"/>
  <c r="T63" i="3"/>
  <c r="U63" i="3"/>
  <c r="U46" i="3"/>
  <c r="G47" i="3"/>
  <c r="G51" i="3"/>
  <c r="G49" i="3"/>
  <c r="T47" i="3"/>
  <c r="T49" i="3"/>
  <c r="T51" i="3"/>
  <c r="G63" i="3"/>
  <c r="G44" i="3"/>
  <c r="U49" i="3"/>
  <c r="N63" i="3"/>
  <c r="T30" i="3"/>
  <c r="X31" i="3"/>
  <c r="X41" i="3"/>
  <c r="X42" i="3"/>
  <c r="T68" i="3"/>
  <c r="R27" i="3"/>
  <c r="S64" i="3"/>
  <c r="O68" i="3"/>
  <c r="I63" i="3"/>
  <c r="R30" i="3"/>
  <c r="O30" i="3"/>
  <c r="E63" i="3"/>
  <c r="S49" i="3"/>
  <c r="N51" i="3"/>
  <c r="U29" i="3"/>
  <c r="N49" i="3"/>
  <c r="U41" i="3"/>
  <c r="N65" i="3"/>
  <c r="T41" i="3"/>
  <c r="W67" i="3"/>
  <c r="S36" i="3"/>
  <c r="I46" i="3"/>
  <c r="F44" i="3"/>
  <c r="R67" i="3"/>
  <c r="F46" i="3"/>
  <c r="U30" i="3"/>
  <c r="U67" i="3"/>
  <c r="K44" i="3"/>
  <c r="R49" i="3"/>
  <c r="T42" i="3"/>
  <c r="T32" i="3"/>
  <c r="R65" i="3"/>
  <c r="K49" i="3"/>
  <c r="N42" i="3"/>
  <c r="P27" i="3"/>
  <c r="N66" i="3"/>
  <c r="O28" i="3"/>
  <c r="N41" i="3"/>
  <c r="N29" i="3"/>
  <c r="W29" i="3"/>
  <c r="P47" i="3"/>
  <c r="S47" i="3"/>
  <c r="C46" i="3"/>
  <c r="C51" i="3"/>
  <c r="X30" i="3"/>
  <c r="P65" i="3"/>
  <c r="R46" i="3"/>
  <c r="I44" i="3"/>
  <c r="N37" i="3"/>
  <c r="P63" i="3"/>
  <c r="K63" i="3"/>
  <c r="E51" i="3"/>
  <c r="X29" i="3"/>
  <c r="N69" i="3"/>
  <c r="E47" i="3"/>
  <c r="O32" i="3"/>
  <c r="C47" i="3"/>
  <c r="W32" i="3"/>
  <c r="X65" i="3"/>
  <c r="H47" i="3"/>
  <c r="H51" i="3"/>
  <c r="I47" i="3"/>
  <c r="F51" i="3"/>
  <c r="S29" i="3"/>
  <c r="F63" i="3"/>
  <c r="N36" i="3"/>
  <c r="T67" i="3"/>
  <c r="R29" i="3"/>
  <c r="P32" i="3"/>
  <c r="R41" i="3"/>
  <c r="L63" i="3"/>
  <c r="P44" i="3"/>
  <c r="X64" i="3"/>
  <c r="O46" i="3"/>
  <c r="P46" i="3"/>
  <c r="W42" i="3"/>
  <c r="U42" i="3"/>
  <c r="C49" i="3"/>
  <c r="P30" i="3"/>
  <c r="I51" i="3"/>
  <c r="P42" i="3"/>
  <c r="P28" i="3"/>
  <c r="I49" i="3"/>
  <c r="K51" i="3"/>
  <c r="L49" i="3"/>
  <c r="K46" i="3"/>
  <c r="D51" i="3"/>
  <c r="W37" i="3"/>
  <c r="D63" i="3"/>
  <c r="O42" i="3"/>
  <c r="O51" i="3"/>
  <c r="U31" i="3"/>
  <c r="W30" i="3"/>
  <c r="X37" i="3"/>
  <c r="N46" i="3"/>
  <c r="E49" i="3"/>
  <c r="O29" i="3"/>
  <c r="L51" i="3"/>
  <c r="Q44" i="3"/>
  <c r="R42" i="3"/>
  <c r="C63" i="3"/>
  <c r="Q47" i="3"/>
  <c r="D44" i="3"/>
  <c r="W41" i="3"/>
  <c r="R44" i="3"/>
  <c r="S44" i="3"/>
  <c r="S66" i="3"/>
  <c r="N64" i="3"/>
  <c r="X67" i="3"/>
  <c r="H49" i="3"/>
  <c r="N31" i="3"/>
  <c r="L46" i="3"/>
  <c r="O64" i="3"/>
  <c r="S46" i="3"/>
  <c r="W68" i="3"/>
  <c r="R47" i="3"/>
  <c r="O27" i="3"/>
  <c r="U65" i="3"/>
  <c r="P69" i="3"/>
  <c r="S30" i="3"/>
  <c r="R28" i="3"/>
  <c r="S65" i="3"/>
  <c r="D46" i="3"/>
  <c r="W36" i="3"/>
  <c r="O69" i="3"/>
  <c r="W27" i="3"/>
  <c r="X36" i="3"/>
  <c r="R64" i="3"/>
  <c r="T66" i="3"/>
  <c r="M49" i="3"/>
  <c r="S32" i="3"/>
  <c r="S42" i="3"/>
  <c r="Q46" i="3"/>
  <c r="H44" i="3"/>
  <c r="O31" i="3"/>
  <c r="M51" i="3"/>
  <c r="K47" i="3"/>
  <c r="X28" i="3"/>
  <c r="R51" i="3"/>
  <c r="H63" i="3"/>
  <c r="S63" i="3"/>
  <c r="O67" i="3"/>
  <c r="U27" i="3"/>
  <c r="S37" i="3"/>
  <c r="X27" i="3"/>
  <c r="R36" i="3"/>
  <c r="P41" i="3"/>
  <c r="T64" i="3"/>
  <c r="U64" i="3"/>
  <c r="O63" i="3"/>
  <c r="S41" i="3"/>
  <c r="X68" i="3"/>
  <c r="Q51" i="3"/>
  <c r="R31" i="3"/>
  <c r="P68" i="3"/>
  <c r="T37" i="3"/>
  <c r="U69" i="3"/>
  <c r="F49" i="3"/>
  <c r="O44" i="3"/>
  <c r="M63" i="3"/>
  <c r="W31" i="3"/>
  <c r="S31" i="3"/>
  <c r="S67" i="3"/>
  <c r="X69" i="3"/>
  <c r="N32" i="3"/>
  <c r="N44" i="3"/>
  <c r="R37" i="3"/>
  <c r="E46" i="3"/>
  <c r="P64" i="3"/>
  <c r="P49" i="3"/>
  <c r="T65" i="3"/>
  <c r="O65" i="3"/>
  <c r="O66" i="3"/>
  <c r="C44" i="3"/>
  <c r="S69" i="3"/>
  <c r="N27" i="3"/>
  <c r="S51" i="3"/>
  <c r="D49" i="3"/>
  <c r="L44" i="3"/>
  <c r="W66" i="3"/>
  <c r="R63" i="3"/>
  <c r="P29" i="3"/>
  <c r="O41" i="3"/>
  <c r="X66" i="3"/>
  <c r="T27" i="3"/>
  <c r="W65" i="3"/>
  <c r="M47" i="3"/>
  <c r="N28" i="3"/>
  <c r="P31" i="3"/>
  <c r="M46" i="3"/>
  <c r="T69" i="3"/>
  <c r="U32" i="3"/>
  <c r="H46" i="3"/>
  <c r="U66" i="3"/>
  <c r="N68" i="3"/>
  <c r="P36" i="3"/>
  <c r="D47" i="3"/>
  <c r="U36" i="3"/>
  <c r="L47" i="3"/>
  <c r="Q49" i="3"/>
  <c r="R66" i="3"/>
  <c r="P66" i="3"/>
  <c r="T31" i="3"/>
  <c r="U37" i="3"/>
  <c r="O47" i="3"/>
  <c r="W28" i="3"/>
  <c r="Q63" i="3"/>
  <c r="R68" i="3"/>
  <c r="T29" i="3"/>
  <c r="U68" i="3"/>
  <c r="W64" i="3"/>
  <c r="S27" i="3"/>
  <c r="N67" i="3"/>
  <c r="R32" i="3"/>
  <c r="P67" i="3"/>
  <c r="T28" i="3"/>
  <c r="U28" i="3"/>
  <c r="F47" i="3"/>
  <c r="O49" i="3"/>
  <c r="M44" i="3"/>
  <c r="W69" i="3"/>
  <c r="S28" i="3"/>
  <c r="S68" i="3"/>
  <c r="X32" i="3"/>
  <c r="N30" i="3"/>
  <c r="N47" i="3"/>
  <c r="R69" i="3"/>
  <c r="E44" i="3"/>
  <c r="P37" i="3"/>
  <c r="P51" i="3"/>
  <c r="T36" i="3"/>
  <c r="O37" i="3"/>
  <c r="O36" i="3"/>
  <c r="Q64" i="3"/>
  <c r="M64" i="3"/>
  <c r="M42" i="3"/>
  <c r="V67" i="3"/>
  <c r="M68" i="3"/>
  <c r="Q65" i="3"/>
  <c r="M37" i="3"/>
  <c r="V66" i="3"/>
  <c r="J49" i="3"/>
  <c r="Q27" i="3"/>
  <c r="M31" i="3"/>
  <c r="V29" i="3"/>
  <c r="M67" i="3"/>
  <c r="M30" i="3"/>
  <c r="V42" i="3"/>
  <c r="Q68" i="3"/>
  <c r="V65" i="3"/>
  <c r="V27" i="3"/>
  <c r="M28" i="3"/>
  <c r="Q42" i="3"/>
  <c r="M36" i="3"/>
  <c r="Q32" i="3"/>
  <c r="M65" i="3"/>
  <c r="Q67" i="3"/>
  <c r="V32" i="3"/>
  <c r="J51" i="3"/>
  <c r="M66" i="3"/>
  <c r="V68" i="3"/>
  <c r="Q29" i="3"/>
  <c r="M69" i="3"/>
  <c r="V30" i="3"/>
  <c r="Q69" i="3"/>
  <c r="Q36" i="3"/>
  <c r="Q41" i="3"/>
  <c r="Q66" i="3"/>
  <c r="V36" i="3"/>
  <c r="V37" i="3"/>
  <c r="M29" i="3"/>
  <c r="V31" i="3"/>
  <c r="Q31" i="3"/>
  <c r="V41" i="3"/>
  <c r="J63" i="3"/>
  <c r="Q30" i="3"/>
  <c r="J46" i="3"/>
  <c r="V64" i="3"/>
  <c r="M32" i="3"/>
  <c r="J44" i="3"/>
  <c r="M41" i="3"/>
  <c r="Q28" i="3"/>
  <c r="V69" i="3"/>
  <c r="M27" i="3"/>
  <c r="Q37" i="3"/>
  <c r="V28" i="3"/>
  <c r="J47" i="3"/>
  <c r="I36" i="3"/>
  <c r="I69" i="3"/>
  <c r="I67" i="3"/>
  <c r="I64" i="3"/>
  <c r="I65" i="3"/>
  <c r="I32" i="3"/>
  <c r="I27" i="3"/>
  <c r="I42" i="3"/>
  <c r="I68" i="3"/>
  <c r="I28" i="3"/>
  <c r="I29" i="3"/>
  <c r="I30" i="3"/>
  <c r="I66" i="3"/>
  <c r="I37" i="3"/>
  <c r="I31" i="3"/>
  <c r="I41" i="3"/>
  <c r="S13" i="3"/>
  <c r="J33" i="3"/>
  <c r="D26" i="3"/>
  <c r="V11" i="3"/>
  <c r="C21" i="3"/>
  <c r="E7" i="3"/>
  <c r="V9" i="3"/>
  <c r="D8" i="3"/>
  <c r="Q9" i="3"/>
  <c r="V24" i="3"/>
  <c r="R16" i="3"/>
  <c r="C31" i="3"/>
  <c r="Q23" i="3"/>
  <c r="S20" i="3"/>
  <c r="J24" i="3"/>
  <c r="T18" i="3"/>
  <c r="J8" i="3"/>
  <c r="O19" i="3"/>
  <c r="E69" i="3"/>
  <c r="O18" i="3"/>
  <c r="T22" i="3"/>
  <c r="V15" i="3"/>
  <c r="J10" i="3"/>
  <c r="T33" i="3"/>
  <c r="X8" i="3"/>
  <c r="E12" i="3"/>
  <c r="O21" i="3"/>
  <c r="H34" i="3"/>
  <c r="N23" i="3"/>
  <c r="H20" i="3"/>
  <c r="J35" i="3"/>
  <c r="J7" i="3"/>
  <c r="C8" i="3"/>
  <c r="N10" i="3"/>
  <c r="K14" i="3"/>
  <c r="V26" i="3"/>
  <c r="F17" i="3"/>
  <c r="E64" i="3"/>
  <c r="K9" i="3"/>
  <c r="F34" i="3"/>
  <c r="G29" i="3"/>
  <c r="D29" i="3"/>
  <c r="E30" i="3"/>
  <c r="F7" i="3"/>
  <c r="M33" i="3"/>
  <c r="T21" i="3"/>
  <c r="N12" i="3"/>
  <c r="X18" i="3"/>
  <c r="M20" i="3"/>
  <c r="V13" i="3"/>
  <c r="C29" i="3"/>
  <c r="J22" i="3"/>
  <c r="S35" i="3"/>
  <c r="L24" i="3"/>
  <c r="R15" i="3"/>
  <c r="H12" i="3"/>
  <c r="C15" i="3"/>
  <c r="M13" i="3"/>
  <c r="G36" i="3"/>
  <c r="E21" i="3"/>
  <c r="D30" i="3"/>
  <c r="M18" i="3"/>
  <c r="D68" i="3"/>
  <c r="J23" i="3"/>
  <c r="H24" i="3"/>
  <c r="X13" i="3"/>
  <c r="E14" i="3"/>
  <c r="R7" i="3"/>
  <c r="R34" i="3"/>
  <c r="R24" i="3"/>
  <c r="H9" i="3"/>
  <c r="R17" i="3"/>
  <c r="H7" i="3"/>
  <c r="L14" i="3"/>
  <c r="J26" i="3"/>
  <c r="S8" i="3"/>
  <c r="D18" i="3"/>
  <c r="H11" i="3"/>
  <c r="L33" i="3"/>
  <c r="J20" i="3"/>
  <c r="E11" i="3"/>
  <c r="F16" i="3"/>
  <c r="X24" i="3"/>
  <c r="R23" i="3"/>
  <c r="T13" i="3"/>
  <c r="T12" i="3"/>
  <c r="N20" i="3"/>
  <c r="O26" i="3"/>
  <c r="F21" i="3"/>
  <c r="N26" i="3"/>
  <c r="Q16" i="3"/>
  <c r="X14" i="3"/>
  <c r="M7" i="3"/>
  <c r="Q34" i="3"/>
  <c r="C68" i="3"/>
  <c r="M34" i="3"/>
  <c r="K33" i="3"/>
  <c r="N7" i="3"/>
  <c r="J13" i="3"/>
  <c r="Q21" i="3"/>
  <c r="R8" i="3"/>
  <c r="C11" i="3"/>
  <c r="D36" i="3"/>
  <c r="L10" i="3"/>
  <c r="D34" i="3"/>
  <c r="G65" i="3"/>
  <c r="E37" i="3"/>
  <c r="E42" i="3"/>
  <c r="F14" i="3"/>
  <c r="D64" i="3"/>
  <c r="D21" i="3"/>
  <c r="J11" i="3"/>
  <c r="H16" i="3"/>
  <c r="X7" i="3"/>
  <c r="E68" i="3"/>
  <c r="D33" i="3"/>
  <c r="C27" i="3"/>
  <c r="V14" i="3"/>
  <c r="S23" i="3"/>
  <c r="T35" i="3"/>
  <c r="N16" i="3"/>
  <c r="C33" i="3"/>
  <c r="G37" i="3"/>
  <c r="H13" i="3"/>
  <c r="G27" i="3"/>
  <c r="E9" i="3"/>
  <c r="K16" i="3"/>
  <c r="D28" i="3"/>
  <c r="C18" i="3"/>
  <c r="L35" i="3"/>
  <c r="C9" i="3"/>
  <c r="R19" i="3"/>
  <c r="F26" i="3"/>
  <c r="L16" i="3"/>
  <c r="T26" i="3"/>
  <c r="N19" i="3"/>
  <c r="S18" i="3"/>
  <c r="O12" i="3"/>
  <c r="R33" i="3"/>
  <c r="V33" i="3"/>
  <c r="G41" i="3"/>
  <c r="C24" i="3"/>
  <c r="S24" i="3"/>
  <c r="D24" i="3"/>
  <c r="Q14" i="3"/>
  <c r="M35" i="3"/>
  <c r="C30" i="3"/>
  <c r="C42" i="3"/>
  <c r="X16" i="3"/>
  <c r="O34" i="3"/>
  <c r="E32" i="3"/>
  <c r="Q18" i="3"/>
  <c r="M12" i="3"/>
  <c r="K15" i="3"/>
  <c r="H10" i="3"/>
  <c r="E35" i="3"/>
  <c r="S21" i="3"/>
  <c r="O14" i="3"/>
  <c r="R9" i="3"/>
  <c r="R11" i="3"/>
  <c r="D66" i="3"/>
  <c r="Q19" i="3"/>
  <c r="E31" i="3"/>
  <c r="C36" i="3"/>
  <c r="C64" i="3"/>
  <c r="F8" i="3"/>
  <c r="M8" i="3"/>
  <c r="M26" i="3"/>
  <c r="M11" i="3"/>
  <c r="J14" i="3"/>
  <c r="K12" i="3"/>
  <c r="J19" i="3"/>
  <c r="L23" i="3"/>
  <c r="L18" i="3"/>
  <c r="V35" i="3"/>
  <c r="G69" i="3"/>
  <c r="G64" i="3"/>
  <c r="V16" i="3"/>
  <c r="H23" i="3"/>
  <c r="H8" i="3"/>
  <c r="X23" i="3"/>
  <c r="C23" i="3"/>
  <c r="C12" i="3"/>
  <c r="N17" i="3"/>
  <c r="N34" i="3"/>
  <c r="E15" i="3"/>
  <c r="S7" i="3"/>
  <c r="S34" i="3"/>
  <c r="O8" i="3"/>
  <c r="X34" i="3"/>
  <c r="D37" i="3"/>
  <c r="D31" i="3"/>
  <c r="Q17" i="3"/>
  <c r="E36" i="3"/>
  <c r="C67" i="3"/>
  <c r="F10" i="3"/>
  <c r="F18" i="3"/>
  <c r="D9" i="3"/>
  <c r="M23" i="3"/>
  <c r="D19" i="3"/>
  <c r="J18" i="3"/>
  <c r="K11" i="3"/>
  <c r="K13" i="3"/>
  <c r="T15" i="3"/>
  <c r="L19" i="3"/>
  <c r="T8" i="3"/>
  <c r="L22" i="3"/>
  <c r="L12" i="3"/>
  <c r="G67" i="3"/>
  <c r="H14" i="3"/>
  <c r="H19" i="3"/>
  <c r="C14" i="3"/>
  <c r="C7" i="3"/>
  <c r="N11" i="3"/>
  <c r="E22" i="3"/>
  <c r="E19" i="3"/>
  <c r="S11" i="3"/>
  <c r="S22" i="3"/>
  <c r="O11" i="3"/>
  <c r="R22" i="3"/>
  <c r="D69" i="3"/>
  <c r="D65" i="3"/>
  <c r="Q33" i="3"/>
  <c r="E41" i="3"/>
  <c r="C65" i="3"/>
  <c r="F35" i="3"/>
  <c r="F11" i="3"/>
  <c r="D20" i="3"/>
  <c r="M14" i="3"/>
  <c r="D10" i="3"/>
  <c r="J34" i="3"/>
  <c r="K10" i="3"/>
  <c r="K20" i="3"/>
  <c r="T34" i="3"/>
  <c r="L8" i="3"/>
  <c r="L20" i="3"/>
  <c r="T7" i="3"/>
  <c r="V18" i="3"/>
  <c r="V23" i="3"/>
  <c r="H21" i="3"/>
  <c r="H26" i="3"/>
  <c r="X19" i="3"/>
  <c r="C35" i="3"/>
  <c r="C17" i="3"/>
  <c r="N13" i="3"/>
  <c r="E34" i="3"/>
  <c r="E23" i="3"/>
  <c r="S15" i="3"/>
  <c r="S9" i="3"/>
  <c r="O20" i="3"/>
  <c r="L7" i="3"/>
  <c r="L15" i="3"/>
  <c r="G30" i="3"/>
  <c r="X11" i="3"/>
  <c r="E8" i="3"/>
  <c r="Q8" i="3"/>
  <c r="F24" i="3"/>
  <c r="M17" i="3"/>
  <c r="J12" i="3"/>
  <c r="G42" i="3"/>
  <c r="E20" i="3"/>
  <c r="Q13" i="3"/>
  <c r="C69" i="3"/>
  <c r="F13" i="3"/>
  <c r="M10" i="3"/>
  <c r="J21" i="3"/>
  <c r="J9" i="3"/>
  <c r="L13" i="3"/>
  <c r="L34" i="3"/>
  <c r="V34" i="3"/>
  <c r="H33" i="3"/>
  <c r="X22" i="3"/>
  <c r="C22" i="3"/>
  <c r="N33" i="3"/>
  <c r="N15" i="3"/>
  <c r="E10" i="3"/>
  <c r="E17" i="3"/>
  <c r="S12" i="3"/>
  <c r="O17" i="3"/>
  <c r="O33" i="3"/>
  <c r="E67" i="3"/>
  <c r="F33" i="3"/>
  <c r="D14" i="3"/>
  <c r="K19" i="3"/>
  <c r="L21" i="3"/>
  <c r="V8" i="3"/>
  <c r="X9" i="3"/>
  <c r="N9" i="3"/>
  <c r="E26" i="3"/>
  <c r="Q24" i="3"/>
  <c r="D15" i="3"/>
  <c r="V22" i="3"/>
  <c r="V19" i="3"/>
  <c r="X12" i="3"/>
  <c r="S26" i="3"/>
  <c r="R14" i="3"/>
  <c r="D41" i="3"/>
  <c r="Q12" i="3"/>
  <c r="E66" i="3"/>
  <c r="F22" i="3"/>
  <c r="D11" i="3"/>
  <c r="M21" i="3"/>
  <c r="K17" i="3"/>
  <c r="L17" i="3"/>
  <c r="T23" i="3"/>
  <c r="V7" i="3"/>
  <c r="X26" i="3"/>
  <c r="C28" i="3"/>
  <c r="M24" i="3"/>
  <c r="T11" i="3"/>
  <c r="H18" i="3"/>
  <c r="C34" i="3"/>
  <c r="T9" i="3"/>
  <c r="X15" i="3"/>
  <c r="E16" i="3"/>
  <c r="R13" i="3"/>
  <c r="F20" i="3"/>
  <c r="D12" i="3"/>
  <c r="K18" i="3"/>
  <c r="K23" i="3"/>
  <c r="L11" i="3"/>
  <c r="L9" i="3"/>
  <c r="G32" i="3"/>
  <c r="X17" i="3"/>
  <c r="C20" i="3"/>
  <c r="N18" i="3"/>
  <c r="N22" i="3"/>
  <c r="E13" i="3"/>
  <c r="S33" i="3"/>
  <c r="O10" i="3"/>
  <c r="O16" i="3"/>
  <c r="Q22" i="3"/>
  <c r="D17" i="3"/>
  <c r="K7" i="3"/>
  <c r="C26" i="3"/>
  <c r="O35" i="3"/>
  <c r="C66" i="3"/>
  <c r="J17" i="3"/>
  <c r="T17" i="3"/>
  <c r="T16" i="3"/>
  <c r="C13" i="3"/>
  <c r="O7" i="3"/>
  <c r="D27" i="3"/>
  <c r="Q15" i="3"/>
  <c r="E29" i="3"/>
  <c r="F9" i="3"/>
  <c r="K8" i="3"/>
  <c r="V12" i="3"/>
  <c r="T19" i="3"/>
  <c r="L26" i="3"/>
  <c r="H35" i="3"/>
  <c r="X33" i="3"/>
  <c r="E33" i="3"/>
  <c r="Q20" i="3"/>
  <c r="F15" i="3"/>
  <c r="K22" i="3"/>
  <c r="O22" i="3"/>
  <c r="D42" i="3"/>
  <c r="D16" i="3"/>
  <c r="C10" i="3"/>
  <c r="O13" i="3"/>
  <c r="R26" i="3"/>
  <c r="M16" i="3"/>
  <c r="R12" i="3"/>
  <c r="Q10" i="3"/>
  <c r="D23" i="3"/>
  <c r="J15" i="3"/>
  <c r="V21" i="3"/>
  <c r="H22" i="3"/>
  <c r="N21" i="3"/>
  <c r="E24" i="3"/>
  <c r="S17" i="3"/>
  <c r="O15" i="3"/>
  <c r="O9" i="3"/>
  <c r="S16" i="3"/>
  <c r="R18" i="3"/>
  <c r="E27" i="3"/>
  <c r="F12" i="3"/>
  <c r="K35" i="3"/>
  <c r="H15" i="3"/>
  <c r="N35" i="3"/>
  <c r="R20" i="3"/>
  <c r="Q26" i="3"/>
  <c r="C37" i="3"/>
  <c r="M19" i="3"/>
  <c r="R35" i="3"/>
  <c r="D67" i="3"/>
  <c r="Q7" i="3"/>
  <c r="E65" i="3"/>
  <c r="C32" i="3"/>
  <c r="F23" i="3"/>
  <c r="M9" i="3"/>
  <c r="M22" i="3"/>
  <c r="D35" i="3"/>
  <c r="G31" i="3"/>
  <c r="S10" i="3"/>
  <c r="J16" i="3"/>
  <c r="K34" i="3"/>
  <c r="T20" i="3"/>
  <c r="V10" i="3"/>
  <c r="T24" i="3"/>
  <c r="G68" i="3"/>
  <c r="X35" i="3"/>
  <c r="X20" i="3"/>
  <c r="C19" i="3"/>
  <c r="N8" i="3"/>
  <c r="R21" i="3"/>
  <c r="R10" i="3"/>
  <c r="D32" i="3"/>
  <c r="Q11" i="3"/>
  <c r="Q35" i="3"/>
  <c r="E28" i="3"/>
  <c r="C41" i="3"/>
  <c r="F19" i="3"/>
  <c r="M15" i="3"/>
  <c r="D22" i="3"/>
  <c r="D7" i="3"/>
  <c r="D13" i="3"/>
  <c r="K24" i="3"/>
  <c r="K26" i="3"/>
  <c r="K21" i="3"/>
  <c r="T10" i="3"/>
  <c r="V20" i="3"/>
  <c r="T14" i="3"/>
  <c r="G28" i="3"/>
  <c r="G66" i="3"/>
  <c r="V17" i="3"/>
  <c r="H17" i="3"/>
  <c r="X10" i="3"/>
  <c r="X21" i="3"/>
  <c r="C16" i="3"/>
  <c r="N14" i="3"/>
  <c r="N24" i="3"/>
  <c r="E18" i="3"/>
  <c r="S19" i="3"/>
  <c r="S14" i="3"/>
  <c r="O24" i="3"/>
  <c r="O23" i="3"/>
  <c r="U13" i="3"/>
  <c r="G22" i="3"/>
  <c r="W21" i="3"/>
  <c r="W18" i="3"/>
  <c r="U14" i="3"/>
  <c r="K69" i="3"/>
  <c r="W26" i="3"/>
  <c r="F32" i="3"/>
  <c r="F31" i="3"/>
  <c r="P8" i="3"/>
  <c r="J42" i="3"/>
  <c r="L69" i="3"/>
  <c r="K64" i="3"/>
  <c r="W12" i="3"/>
  <c r="H68" i="3"/>
  <c r="W16" i="3"/>
  <c r="U7" i="3"/>
  <c r="W34" i="3"/>
  <c r="U21" i="3"/>
  <c r="J65" i="3"/>
  <c r="I19" i="3"/>
  <c r="J64" i="3"/>
  <c r="K41" i="3"/>
  <c r="W35" i="3"/>
  <c r="W11" i="3"/>
  <c r="U17" i="3"/>
  <c r="L31" i="3"/>
  <c r="P19" i="3"/>
  <c r="F41" i="3"/>
  <c r="F36" i="3"/>
  <c r="F66" i="3"/>
  <c r="P13" i="3"/>
  <c r="I35" i="3"/>
  <c r="J37" i="3"/>
  <c r="W8" i="3"/>
  <c r="F30" i="3"/>
  <c r="G12" i="3"/>
  <c r="I18" i="3"/>
  <c r="J28" i="3"/>
  <c r="K66" i="3"/>
  <c r="H69" i="3"/>
  <c r="F27" i="3"/>
  <c r="U33" i="3"/>
  <c r="U16" i="3"/>
  <c r="P33" i="3"/>
  <c r="L36" i="3"/>
  <c r="F68" i="3"/>
  <c r="P15" i="3"/>
  <c r="L29" i="3"/>
  <c r="P35" i="3"/>
  <c r="G20" i="3"/>
  <c r="I16" i="3"/>
  <c r="L32" i="3"/>
  <c r="J27" i="3"/>
  <c r="K30" i="3"/>
  <c r="K31" i="3"/>
  <c r="H66" i="3"/>
  <c r="W7" i="3"/>
  <c r="F42" i="3"/>
  <c r="U18" i="3"/>
  <c r="K29" i="3"/>
  <c r="I22" i="3"/>
  <c r="L37" i="3"/>
  <c r="G14" i="3"/>
  <c r="P9" i="3"/>
  <c r="L30" i="3"/>
  <c r="K42" i="3"/>
  <c r="K27" i="3"/>
  <c r="H27" i="3"/>
  <c r="W9" i="3"/>
  <c r="F67" i="3"/>
  <c r="U12" i="3"/>
  <c r="P16" i="3"/>
  <c r="P20" i="3"/>
  <c r="G23" i="3"/>
  <c r="G8" i="3"/>
  <c r="P24" i="3"/>
  <c r="P21" i="3"/>
  <c r="I26" i="3"/>
  <c r="L67" i="3"/>
  <c r="U19" i="3"/>
  <c r="P18" i="3"/>
  <c r="P23" i="3"/>
  <c r="L41" i="3"/>
  <c r="W15" i="3"/>
  <c r="H65" i="3"/>
  <c r="H29" i="3"/>
  <c r="W13" i="3"/>
  <c r="F65" i="3"/>
  <c r="U11" i="3"/>
  <c r="U20" i="3"/>
  <c r="L65" i="3"/>
  <c r="W20" i="3"/>
  <c r="F29" i="3"/>
  <c r="U34" i="3"/>
  <c r="U22" i="3"/>
  <c r="J29" i="3"/>
  <c r="G10" i="3"/>
  <c r="P26" i="3"/>
  <c r="K67" i="3"/>
  <c r="I10" i="3"/>
  <c r="P22" i="3"/>
  <c r="G17" i="3"/>
  <c r="I11" i="3"/>
  <c r="K65" i="3"/>
  <c r="G11" i="3"/>
  <c r="K68" i="3"/>
  <c r="W10" i="3"/>
  <c r="W33" i="3"/>
  <c r="F28" i="3"/>
  <c r="U26" i="3"/>
  <c r="I33" i="3"/>
  <c r="H37" i="3"/>
  <c r="G33" i="3"/>
  <c r="I8" i="3"/>
  <c r="W22" i="3"/>
  <c r="L42" i="3"/>
  <c r="I7" i="3"/>
  <c r="J68" i="3"/>
  <c r="L68" i="3"/>
  <c r="H41" i="3"/>
  <c r="U24" i="3"/>
  <c r="I23" i="3"/>
  <c r="J30" i="3"/>
  <c r="J32" i="3"/>
  <c r="L64" i="3"/>
  <c r="H28" i="3"/>
  <c r="G34" i="3"/>
  <c r="I13" i="3"/>
  <c r="G24" i="3"/>
  <c r="K32" i="3"/>
  <c r="H64" i="3"/>
  <c r="W24" i="3"/>
  <c r="F64" i="3"/>
  <c r="U8" i="3"/>
  <c r="U10" i="3"/>
  <c r="P17" i="3"/>
  <c r="K37" i="3"/>
  <c r="P14" i="3"/>
  <c r="J36" i="3"/>
  <c r="I9" i="3"/>
  <c r="L66" i="3"/>
  <c r="G26" i="3"/>
  <c r="G15" i="3"/>
  <c r="P7" i="3"/>
  <c r="L28" i="3"/>
  <c r="H36" i="3"/>
  <c r="I17" i="3"/>
  <c r="L27" i="3"/>
  <c r="W14" i="3"/>
  <c r="H32" i="3"/>
  <c r="P12" i="3"/>
  <c r="G16" i="3"/>
  <c r="I20" i="3"/>
  <c r="J31" i="3"/>
  <c r="J67" i="3"/>
  <c r="K36" i="3"/>
  <c r="H31" i="3"/>
  <c r="H30" i="3"/>
  <c r="W19" i="3"/>
  <c r="F37" i="3"/>
  <c r="U15" i="3"/>
  <c r="U9" i="3"/>
  <c r="G13" i="3"/>
  <c r="W17" i="3"/>
  <c r="G9" i="3"/>
  <c r="G19" i="3"/>
  <c r="I24" i="3"/>
  <c r="P11" i="3"/>
  <c r="I34" i="3"/>
  <c r="P34" i="3"/>
  <c r="G18" i="3"/>
  <c r="I14" i="3"/>
  <c r="I12" i="3"/>
  <c r="J69" i="3"/>
  <c r="G7" i="3"/>
  <c r="G21" i="3"/>
  <c r="G35" i="3"/>
  <c r="P10" i="3"/>
  <c r="I15" i="3"/>
  <c r="I21" i="3"/>
  <c r="J66" i="3"/>
  <c r="J41" i="3"/>
  <c r="K28" i="3"/>
  <c r="H67" i="3"/>
  <c r="H42" i="3"/>
  <c r="W23" i="3"/>
  <c r="F69" i="3"/>
  <c r="U35" i="3"/>
  <c r="U23" i="3"/>
  <c r="C6" i="3"/>
  <c r="D6" i="3" a="1"/>
  <c r="D6" i="3" s="1"/>
  <c r="E6" i="3" a="1"/>
  <c r="E6" i="3"/>
  <c r="F6" i="3" a="1"/>
  <c r="F6" i="3" s="1"/>
  <c r="G6" i="3" a="1"/>
  <c r="G6" i="3" s="1"/>
  <c r="H6" i="3" a="1"/>
  <c r="H6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C25" i="3" a="1"/>
  <c r="C25" i="3" s="1"/>
  <c r="D25" i="3" a="1"/>
  <c r="D25" i="3" s="1"/>
  <c r="E25" i="3" a="1"/>
  <c r="E25" i="3" s="1"/>
  <c r="F25" i="3" a="1"/>
  <c r="F25" i="3" s="1"/>
  <c r="G25" i="3" a="1"/>
  <c r="G25" i="3" s="1"/>
  <c r="H25" i="3" a="1"/>
  <c r="H25" i="3" s="1"/>
  <c r="I25" i="3" a="1"/>
  <c r="I25" i="3" s="1"/>
  <c r="J25" i="3" a="1"/>
  <c r="J25" i="3" s="1"/>
  <c r="K25" i="3" a="1"/>
  <c r="K25" i="3" s="1"/>
  <c r="L25" i="3" a="1"/>
  <c r="L25" i="3" s="1"/>
  <c r="M25" i="3" a="1"/>
  <c r="M25" i="3" s="1"/>
  <c r="N25" i="3" a="1"/>
  <c r="N25" i="3" s="1"/>
  <c r="O25" i="3" a="1"/>
  <c r="O25" i="3" s="1"/>
  <c r="P25" i="3" a="1"/>
  <c r="P25" i="3" s="1"/>
  <c r="Q25" i="3" a="1"/>
  <c r="Q25" i="3" s="1"/>
  <c r="R25" i="3" a="1"/>
  <c r="R25" i="3" s="1"/>
  <c r="S25" i="3" a="1"/>
  <c r="S25" i="3" s="1"/>
  <c r="T25" i="3" a="1"/>
  <c r="T25" i="3" s="1"/>
  <c r="U25" i="3" a="1"/>
  <c r="U25" i="3" s="1"/>
  <c r="V25" i="3" a="1"/>
  <c r="V25" i="3" s="1"/>
  <c r="W25" i="3" a="1"/>
  <c r="W25" i="3" s="1"/>
  <c r="X25" i="3" a="1"/>
  <c r="X25" i="3" s="1"/>
  <c r="C38" i="3" a="1"/>
  <c r="C38" i="3" s="1"/>
  <c r="D38" i="3" a="1"/>
  <c r="D38" i="3" s="1"/>
  <c r="E38" i="3" a="1"/>
  <c r="E38" i="3" s="1"/>
  <c r="F38" i="3" a="1"/>
  <c r="F38" i="3" s="1"/>
  <c r="G38" i="3" a="1"/>
  <c r="G38" i="3" s="1"/>
  <c r="H38" i="3" a="1"/>
  <c r="H38" i="3" s="1"/>
  <c r="I38" i="3" a="1"/>
  <c r="I38" i="3" s="1"/>
  <c r="J38" i="3" a="1"/>
  <c r="J38" i="3" s="1"/>
  <c r="K38" i="3" a="1"/>
  <c r="K38" i="3" s="1"/>
  <c r="L38" i="3" a="1"/>
  <c r="L38" i="3" s="1"/>
  <c r="M38" i="3" a="1"/>
  <c r="M38" i="3" s="1"/>
  <c r="N38" i="3" a="1"/>
  <c r="N38" i="3" s="1"/>
  <c r="O38" i="3" a="1"/>
  <c r="O38" i="3" s="1"/>
  <c r="P38" i="3" a="1"/>
  <c r="P38" i="3" s="1"/>
  <c r="Q38" i="3" a="1"/>
  <c r="Q38" i="3" s="1"/>
  <c r="R38" i="3" a="1"/>
  <c r="R38" i="3" s="1"/>
  <c r="S38" i="3" a="1"/>
  <c r="S38" i="3" s="1"/>
  <c r="T38" i="3" a="1"/>
  <c r="T38" i="3" s="1"/>
  <c r="U38" i="3" a="1"/>
  <c r="U38" i="3" s="1"/>
  <c r="V38" i="3" a="1"/>
  <c r="V38" i="3" s="1"/>
  <c r="W38" i="3" a="1"/>
  <c r="W38" i="3" s="1"/>
  <c r="X38" i="3" a="1"/>
  <c r="X38" i="3" s="1"/>
  <c r="C40" i="3" a="1"/>
  <c r="C40" i="3" s="1"/>
  <c r="D40" i="3" a="1"/>
  <c r="D40" i="3" s="1"/>
  <c r="E40" i="3" a="1"/>
  <c r="E40" i="3" s="1"/>
  <c r="F40" i="3" a="1"/>
  <c r="F40" i="3" s="1"/>
  <c r="G40" i="3" a="1"/>
  <c r="G40" i="3" s="1"/>
  <c r="H40" i="3" a="1"/>
  <c r="H40" i="3" s="1"/>
  <c r="I40" i="3" a="1"/>
  <c r="I40" i="3" s="1"/>
  <c r="J40" i="3" a="1"/>
  <c r="J40" i="3" s="1"/>
  <c r="K40" i="3" a="1"/>
  <c r="K40" i="3" s="1"/>
  <c r="L40" i="3" a="1"/>
  <c r="L40" i="3" s="1"/>
  <c r="M40" i="3" a="1"/>
  <c r="M40" i="3" s="1"/>
  <c r="N40" i="3" a="1"/>
  <c r="N40" i="3" s="1"/>
  <c r="O40" i="3" a="1"/>
  <c r="O40" i="3" s="1"/>
  <c r="P40" i="3" a="1"/>
  <c r="P40" i="3" s="1"/>
  <c r="Q40" i="3" a="1"/>
  <c r="Q40" i="3" s="1"/>
  <c r="R40" i="3" a="1"/>
  <c r="R40" i="3" s="1"/>
  <c r="S40" i="3" a="1"/>
  <c r="S40" i="3" s="1"/>
  <c r="T40" i="3" a="1"/>
  <c r="T40" i="3" s="1"/>
  <c r="U40" i="3" a="1"/>
  <c r="U40" i="3" s="1"/>
  <c r="V40" i="3" a="1"/>
  <c r="V40" i="3" s="1"/>
  <c r="W40" i="3" a="1"/>
  <c r="W40" i="3" s="1"/>
  <c r="X40" i="3" a="1"/>
  <c r="X40" i="3" s="1"/>
  <c r="C50" i="3" a="1"/>
  <c r="C50" i="3" s="1"/>
  <c r="D50" i="3" a="1"/>
  <c r="D50" i="3" s="1"/>
  <c r="E50" i="3" a="1"/>
  <c r="E50" i="3" s="1"/>
  <c r="F50" i="3" a="1"/>
  <c r="F50" i="3" s="1"/>
  <c r="G50" i="3" a="1"/>
  <c r="G50" i="3" s="1"/>
  <c r="H50" i="3" a="1"/>
  <c r="H50" i="3" s="1"/>
  <c r="I50" i="3" a="1"/>
  <c r="I50" i="3" s="1"/>
  <c r="J50" i="3" a="1"/>
  <c r="J50" i="3"/>
  <c r="K50" i="3" a="1"/>
  <c r="K50" i="3" s="1"/>
  <c r="L50" i="3" a="1"/>
  <c r="L50" i="3" s="1"/>
  <c r="M50" i="3" a="1"/>
  <c r="M50" i="3" s="1"/>
  <c r="N50" i="3" a="1"/>
  <c r="N50" i="3" s="1"/>
  <c r="O50" i="3" a="1"/>
  <c r="O50" i="3" s="1"/>
  <c r="P50" i="3" a="1"/>
  <c r="P50" i="3" s="1"/>
  <c r="Q50" i="3" a="1"/>
  <c r="Q50" i="3" s="1"/>
  <c r="R50" i="3" a="1"/>
  <c r="R50" i="3" s="1"/>
  <c r="S50" i="3" a="1"/>
  <c r="S50" i="3" s="1"/>
  <c r="T50" i="3" a="1"/>
  <c r="T50" i="3" s="1"/>
  <c r="U50" i="3" a="1"/>
  <c r="U50" i="3" s="1"/>
  <c r="V50" i="3" a="1"/>
  <c r="V50" i="3" s="1"/>
  <c r="W50" i="3" a="1"/>
  <c r="W50" i="3" s="1"/>
  <c r="X50" i="3" a="1"/>
  <c r="X50" i="3" s="1"/>
  <c r="C52" i="3" a="1"/>
  <c r="C52" i="3" s="1"/>
  <c r="D52" i="3" a="1"/>
  <c r="D52" i="3" s="1"/>
  <c r="E52" i="3" a="1"/>
  <c r="E52" i="3" s="1"/>
  <c r="F52" i="3" a="1"/>
  <c r="F52" i="3" s="1"/>
  <c r="G52" i="3" a="1"/>
  <c r="G52" i="3" s="1"/>
  <c r="H52" i="3" a="1"/>
  <c r="H52" i="3" s="1"/>
  <c r="I52" i="3" a="1"/>
  <c r="I52" i="3" s="1"/>
  <c r="J52" i="3" a="1"/>
  <c r="J52" i="3" s="1"/>
  <c r="K52" i="3" a="1"/>
  <c r="K52" i="3" s="1"/>
  <c r="L52" i="3" a="1"/>
  <c r="L52" i="3" s="1"/>
  <c r="M52" i="3" a="1"/>
  <c r="M52" i="3" s="1"/>
  <c r="N52" i="3" a="1"/>
  <c r="N52" i="3" s="1"/>
  <c r="O52" i="3" a="1"/>
  <c r="O52" i="3" s="1"/>
  <c r="P52" i="3" a="1"/>
  <c r="P52" i="3" s="1"/>
  <c r="Q52" i="3" a="1"/>
  <c r="Q52" i="3" s="1"/>
  <c r="R52" i="3" a="1"/>
  <c r="R52" i="3" s="1"/>
  <c r="S52" i="3" a="1"/>
  <c r="S52" i="3" s="1"/>
  <c r="T52" i="3" a="1"/>
  <c r="T52" i="3" s="1"/>
  <c r="U52" i="3" a="1"/>
  <c r="U52" i="3" s="1"/>
  <c r="V52" i="3" a="1"/>
  <c r="V52" i="3" s="1"/>
  <c r="W52" i="3" a="1"/>
  <c r="W52" i="3" s="1"/>
  <c r="X52" i="3" a="1"/>
  <c r="X52" i="3" s="1"/>
  <c r="C56" i="3" a="1"/>
  <c r="C56" i="3" s="1"/>
  <c r="D56" i="3" a="1"/>
  <c r="D56" i="3" s="1"/>
  <c r="E56" i="3" a="1"/>
  <c r="E56" i="3" s="1"/>
  <c r="F56" i="3" a="1"/>
  <c r="F56" i="3" s="1"/>
  <c r="G56" i="3" a="1"/>
  <c r="G56" i="3" s="1"/>
  <c r="H56" i="3" a="1"/>
  <c r="H56" i="3" s="1"/>
  <c r="I56" i="3" a="1"/>
  <c r="I56" i="3" s="1"/>
  <c r="J56" i="3" a="1"/>
  <c r="J56" i="3" s="1"/>
  <c r="K56" i="3" a="1"/>
  <c r="K56" i="3" s="1"/>
  <c r="L56" i="3" a="1"/>
  <c r="L56" i="3" s="1"/>
  <c r="M56" i="3" a="1"/>
  <c r="M56" i="3" s="1"/>
  <c r="N56" i="3" a="1"/>
  <c r="N56" i="3" s="1"/>
  <c r="O56" i="3" a="1"/>
  <c r="O56" i="3" s="1"/>
  <c r="P56" i="3" a="1"/>
  <c r="P56" i="3" s="1"/>
  <c r="Q56" i="3" a="1"/>
  <c r="Q56" i="3" s="1"/>
  <c r="R56" i="3" a="1"/>
  <c r="R56" i="3" s="1"/>
  <c r="S56" i="3" a="1"/>
  <c r="S56" i="3" s="1"/>
  <c r="T56" i="3" a="1"/>
  <c r="T56" i="3" s="1"/>
  <c r="U56" i="3" a="1"/>
  <c r="U56" i="3" s="1"/>
  <c r="V56" i="3" a="1"/>
  <c r="V56" i="3" s="1"/>
  <c r="W56" i="3" a="1"/>
  <c r="W56" i="3" s="1"/>
  <c r="X56" i="3" a="1"/>
  <c r="X56" i="3" s="1"/>
  <c r="C59" i="3" a="1"/>
  <c r="C59" i="3" s="1"/>
  <c r="D59" i="3" a="1"/>
  <c r="D59" i="3" s="1"/>
  <c r="E59" i="3" a="1"/>
  <c r="E59" i="3" s="1"/>
  <c r="F59" i="3" a="1"/>
  <c r="F59" i="3" s="1"/>
  <c r="G59" i="3" a="1"/>
  <c r="G59" i="3" s="1"/>
  <c r="H59" i="3" a="1"/>
  <c r="H59" i="3"/>
  <c r="I59" i="3" a="1"/>
  <c r="I59" i="3" s="1"/>
  <c r="J59" i="3" a="1"/>
  <c r="J59" i="3" s="1"/>
  <c r="K59" i="3" a="1"/>
  <c r="K59" i="3" s="1"/>
  <c r="L59" i="3" a="1"/>
  <c r="L59" i="3" s="1"/>
  <c r="M59" i="3" a="1"/>
  <c r="M59" i="3" s="1"/>
  <c r="N59" i="3" a="1"/>
  <c r="N59" i="3" s="1"/>
  <c r="O59" i="3" a="1"/>
  <c r="O59" i="3" s="1"/>
  <c r="P59" i="3" a="1"/>
  <c r="P59" i="3" s="1"/>
  <c r="Q59" i="3" a="1"/>
  <c r="Q59" i="3" s="1"/>
  <c r="R59" i="3" a="1"/>
  <c r="R59" i="3" s="1"/>
  <c r="S59" i="3" a="1"/>
  <c r="S59" i="3" s="1"/>
  <c r="T59" i="3" a="1"/>
  <c r="T59" i="3" s="1"/>
  <c r="U59" i="3" a="1"/>
  <c r="U59" i="3" s="1"/>
  <c r="V59" i="3" a="1"/>
  <c r="V59" i="3" s="1"/>
  <c r="W59" i="3" a="1"/>
  <c r="W59" i="3" s="1"/>
  <c r="X59" i="3" a="1"/>
  <c r="X59" i="3" s="1"/>
  <c r="C60" i="3" a="1"/>
  <c r="C60" i="3" s="1"/>
  <c r="D60" i="3" a="1"/>
  <c r="D60" i="3" s="1"/>
  <c r="E60" i="3" a="1"/>
  <c r="E60" i="3" s="1"/>
  <c r="F60" i="3" a="1"/>
  <c r="F60" i="3" s="1"/>
  <c r="G60" i="3" a="1"/>
  <c r="G60" i="3" s="1"/>
  <c r="H60" i="3" a="1"/>
  <c r="H60" i="3" s="1"/>
  <c r="I60" i="3" a="1"/>
  <c r="I60" i="3" s="1"/>
  <c r="J60" i="3" a="1"/>
  <c r="J60" i="3" s="1"/>
  <c r="K60" i="3" a="1"/>
  <c r="K60" i="3" s="1"/>
  <c r="L60" i="3" a="1"/>
  <c r="L60" i="3" s="1"/>
  <c r="M60" i="3" a="1"/>
  <c r="M60" i="3" s="1"/>
  <c r="N60" i="3" a="1"/>
  <c r="N60" i="3" s="1"/>
  <c r="O60" i="3" a="1"/>
  <c r="O60" i="3" s="1"/>
  <c r="P60" i="3" a="1"/>
  <c r="P60" i="3" s="1"/>
  <c r="Q60" i="3" a="1"/>
  <c r="Q60" i="3" s="1"/>
  <c r="R60" i="3" a="1"/>
  <c r="R60" i="3" s="1"/>
  <c r="S60" i="3" a="1"/>
  <c r="S60" i="3" s="1"/>
  <c r="T60" i="3" a="1"/>
  <c r="T60" i="3" s="1"/>
  <c r="U60" i="3" a="1"/>
  <c r="U60" i="3" s="1"/>
  <c r="V60" i="3" a="1"/>
  <c r="V60" i="3" s="1"/>
  <c r="W60" i="3" a="1"/>
  <c r="W60" i="3" s="1"/>
  <c r="X60" i="3" a="1"/>
  <c r="X60" i="3" s="1"/>
  <c r="C61" i="3" a="1"/>
  <c r="C61" i="3" s="1"/>
  <c r="D61" i="3" a="1"/>
  <c r="D61" i="3" s="1"/>
  <c r="E61" i="3" a="1"/>
  <c r="E61" i="3" s="1"/>
  <c r="F61" i="3" a="1"/>
  <c r="F61" i="3" s="1"/>
  <c r="G61" i="3" a="1"/>
  <c r="G61" i="3" s="1"/>
  <c r="H61" i="3" a="1"/>
  <c r="H61" i="3" s="1"/>
  <c r="I61" i="3" a="1"/>
  <c r="I61" i="3" s="1"/>
  <c r="J61" i="3" a="1"/>
  <c r="J61" i="3" s="1"/>
  <c r="K61" i="3" a="1"/>
  <c r="K61" i="3" s="1"/>
  <c r="L61" i="3" a="1"/>
  <c r="L61" i="3" s="1"/>
  <c r="M61" i="3" a="1"/>
  <c r="M61" i="3" s="1"/>
  <c r="N61" i="3" a="1"/>
  <c r="N61" i="3" s="1"/>
  <c r="O61" i="3" a="1"/>
  <c r="O61" i="3" s="1"/>
  <c r="P61" i="3" a="1"/>
  <c r="P61" i="3" s="1"/>
  <c r="Q61" i="3" a="1"/>
  <c r="Q61" i="3" s="1"/>
  <c r="R61" i="3" a="1"/>
  <c r="R61" i="3" s="1"/>
  <c r="S61" i="3" a="1"/>
  <c r="S61" i="3" s="1"/>
  <c r="T61" i="3" a="1"/>
  <c r="T61" i="3" s="1"/>
  <c r="U61" i="3" a="1"/>
  <c r="U61" i="3" s="1"/>
  <c r="V61" i="3" a="1"/>
  <c r="V61" i="3" s="1"/>
  <c r="W61" i="3" a="1"/>
  <c r="W61" i="3" s="1"/>
  <c r="X61" i="3" a="1"/>
  <c r="X6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<sst xmlns="http://schemas.openxmlformats.org/spreadsheetml/2006/main" count="7055" uniqueCount="1196">
  <si>
    <t>Revenue</t>
  </si>
  <si>
    <t>Gross Profit</t>
  </si>
  <si>
    <t>Reference Items</t>
  </si>
  <si>
    <t>Right click to show data transparency (not supported for all values)</t>
  </si>
  <si>
    <t>FY 2005</t>
  </si>
  <si>
    <t>Datamatics Global Services Ltd (DATA IN) - Multiples</t>
  </si>
  <si>
    <t>In Millions of INR except Per Share</t>
  </si>
  <si>
    <t>FY 2006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</si>
  <si>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</si>
  <si>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</si>
  <si>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</si>
  <si>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</si>
  <si>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</si>
  <si>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</si>
  <si>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</si>
  <si>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</si>
  <si>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</si>
  <si>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</si>
  <si>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</si>
  <si>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</si>
  <si>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</si>
  <si>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</si>
  <si>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</si>
  <si>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</si>
  <si>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</si>
  <si>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</si>
  <si>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</si>
  <si>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Current</t>
  </si>
  <si>
    <t>FY 2026 Est</t>
  </si>
  <si>
    <t>FY 2027 Est</t>
  </si>
  <si>
    <t>12 Months Ending</t>
  </si>
  <si>
    <t>03/31/2005</t>
  </si>
  <si>
    <t>03/31/2006</t>
  </si>
  <si>
    <t>03/31/2007</t>
  </si>
  <si>
    <t>03/31/2008</t>
  </si>
  <si>
    <t>03/31/2009</t>
  </si>
  <si>
    <t>03/31/2010</t>
  </si>
  <si>
    <t>03/31/2011</t>
  </si>
  <si>
    <t>03/31/2012</t>
  </si>
  <si>
    <t>03/31/2013</t>
  </si>
  <si>
    <t>03/31/2014</t>
  </si>
  <si>
    <t>03/31/2015</t>
  </si>
  <si>
    <t>03/31/2016</t>
  </si>
  <si>
    <t>03/31/2017</t>
  </si>
  <si>
    <t>03/31/2018</t>
  </si>
  <si>
    <t>03/31/2019</t>
  </si>
  <si>
    <t>03/31/2020</t>
  </si>
  <si>
    <t>03/31/2021</t>
  </si>
  <si>
    <t>03/31/2022</t>
  </si>
  <si>
    <t>03/31/2023</t>
  </si>
  <si>
    <t>03/31/2024</t>
  </si>
  <si>
    <t>03/31/2025</t>
  </si>
  <si>
    <t>02/04/2026</t>
  </si>
  <si>
    <t>03/31/2026</t>
  </si>
  <si>
    <t>03/31/2027</t>
  </si>
  <si>
    <t>P/E</t>
  </si>
  <si>
    <t>PE_RATIO</t>
  </si>
  <si>
    <t xml:space="preserve">  Average</t>
  </si>
  <si>
    <t>AVERAGE_PRICE_EARNINGS_RATIO</t>
  </si>
  <si>
    <t xml:space="preserve">  High</t>
  </si>
  <si>
    <t>PX_ERN_RATIO_WITH_HIGH_CLOS_PX</t>
  </si>
  <si>
    <t xml:space="preserve">  Low</t>
  </si>
  <si>
    <t>PX_ERN_RATIO_WITH_LOW_CLOS_PX</t>
  </si>
  <si>
    <t>P/Book</t>
  </si>
  <si>
    <t>PX_TO_BOOK_RATIO</t>
  </si>
  <si>
    <t>AVERAGE_PRICE_TO_BOOK_RATIO</t>
  </si>
  <si>
    <t>HIGH_CLOSING_PRICE_TO_BOOK_RATIO</t>
  </si>
  <si>
    <t>LOW_CLOSING_PRICE_TO_BOOK_RATIO</t>
  </si>
  <si>
    <t>P/Tangible Book</t>
  </si>
  <si>
    <t>PX_TO_TANG_BV_PER_SH</t>
  </si>
  <si>
    <t>AVERAGE_PRICE_TO_TANGIBLE_BPS</t>
  </si>
  <si>
    <t>HIGH_PRICE_TO_TANGIBLE_BPS</t>
  </si>
  <si>
    <t>LOW_PRICE_TO_TANGIBLE_BPS</t>
  </si>
  <si>
    <t>P/Sales</t>
  </si>
  <si>
    <t>PX_TO_SALES_RATIO</t>
  </si>
  <si>
    <t>AVERAGE_PRICE_TO_SALES_RATIO</t>
  </si>
  <si>
    <t>HIGH_PX_TO_SALES_RATIO</t>
  </si>
  <si>
    <t>LOW_PX_TO_SALES_RATIO</t>
  </si>
  <si>
    <t>P/Cash Flow</t>
  </si>
  <si>
    <t>PX_TO_CASH_FLOW</t>
  </si>
  <si>
    <t>AVERAGE_PRICE_TO_CASH_FLOW</t>
  </si>
  <si>
    <t>HIGH_CLOSING_PRICE_TO_CASH_FLOW</t>
  </si>
  <si>
    <t>LOW_CLOSING_PRICE_TO_CASH_FLOW</t>
  </si>
  <si>
    <t>P/Free Cash Flow</t>
  </si>
  <si>
    <t>PX_TO_FREE_CASH_FLOW</t>
  </si>
  <si>
    <t>AVERAGE_PRICE_TO_FREE_CASH_FLOW</t>
  </si>
  <si>
    <t>HIGH_PRICE_TO_FREE_CASH_FLOW</t>
  </si>
  <si>
    <t>LOW_PRICE_TO_FREE_CASH_FLOW</t>
  </si>
  <si>
    <t>EV/Sales</t>
  </si>
  <si>
    <t>EV_TO_T12M_SALES</t>
  </si>
  <si>
    <t>AVERAGE_EV_TO_T12M_SALES</t>
  </si>
  <si>
    <t>HIGH_EV_TO_T12M_SALES</t>
  </si>
  <si>
    <t>LOW_EV_TO_T12M_SALES</t>
  </si>
  <si>
    <t>EV/EBITDA</t>
  </si>
  <si>
    <t>EV_TO_T12M_EBITDA</t>
  </si>
  <si>
    <t>AVG_EV_TO_T12M_EBITDA</t>
  </si>
  <si>
    <t>HIGH_EV_TO_T12M_EBITDA</t>
  </si>
  <si>
    <t>LOW_EV_TO_T12M_EBITDA</t>
  </si>
  <si>
    <t>EV/EBIT</t>
  </si>
  <si>
    <t>EV_TO_T12M_EBIT</t>
  </si>
  <si>
    <t>AVERAGE_EV_TO_T12M_EBIT</t>
  </si>
  <si>
    <t>HIGH_EV_TO_T12M_EBIT</t>
  </si>
  <si>
    <t>LOW_EV_TO_T12M_EBIT</t>
  </si>
  <si>
    <t>Price/Share</t>
  </si>
  <si>
    <t>PX_LAST</t>
  </si>
  <si>
    <t>PX_HIGH</t>
  </si>
  <si>
    <t>PX_LOW</t>
  </si>
  <si>
    <t>Enterprise Value</t>
  </si>
  <si>
    <t>ENTERPRISE_VALUE</t>
  </si>
  <si>
    <t>AVERAGE_ENTERPRISE_VALUE</t>
  </si>
  <si>
    <t>HIGH_ENTERPRISE_VALUE</t>
  </si>
  <si>
    <t>LOW_ENTERPRISE_VALUE</t>
  </si>
  <si>
    <t>Source: Bloomberg</t>
  </si>
  <si>
    <t>Datamatics Global Services Ltd (DATA IN) - GAAP</t>
  </si>
  <si>
    <t>FY 2004</t>
  </si>
  <si>
    <t>Last 12M</t>
  </si>
  <si>
    <t>03/31/2004</t>
  </si>
  <si>
    <t>12/31/2025</t>
  </si>
  <si>
    <t>SALES_REV_TURN</t>
  </si>
  <si>
    <t xml:space="preserve">    + Sales &amp; Services Revenue</t>
  </si>
  <si>
    <t>IS_SALES_AND_SERVICES_REVENUES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</si>
  <si>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</si>
  <si>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</si>
  <si>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</si>
  <si>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</si>
  <si>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</si>
  <si>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 &amp; Marketing</t>
  </si>
  <si>
    <t>IS_SELLING_EXPENSES</t>
  </si>
  <si>
    <t xml:space="preserve">    + Research &amp; Development</t>
  </si>
  <si>
    <t>IS_OPER_EXPENSES_RD_GAAP</t>
  </si>
  <si>
    <t xml:space="preserve">    + Depreciation &amp; Amortization</t>
  </si>
  <si>
    <t>IS_DEPRECIATION_AND_AMORTIZATION</t>
  </si>
  <si>
    <t xml:space="preserve">    + Prov For Doubtful Accts</t>
  </si>
  <si>
    <t>IS_PROVISION_DOUBTFUL_ACCOUNTS</t>
  </si>
  <si>
    <t xml:space="preserve">    + Other Operating Expense</t>
  </si>
  <si>
    <t>OTHER_OPERATING_EXPENSES_RATIO</t>
  </si>
  <si>
    <t>Operating Income (Loss)</t>
  </si>
  <si>
    <t>IS_OPER_INC</t>
  </si>
  <si>
    <t xml:space="preserve">  - Non-Operating (Income) Loss</t>
  </si>
  <si>
    <t>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</si>
  <si>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</si>
  <si>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</si>
  <si>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</si>
  <si>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</si>
  <si>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</si>
  <si>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</si>
  <si>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Other Investment (Inc) Loss</t>
  </si>
  <si>
    <t>IS_OTHER_INVESTMENT_INCOME_LOSS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</si>
  <si>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</si>
  <si>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</si>
  <si>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</si>
  <si>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</si>
  <si>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</si>
  <si>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OTHER_NONOP_INCOME_LOSS</t>
  </si>
  <si>
    <t>Pretax Income</t>
  </si>
  <si>
    <t>PRETAX_INC</t>
  </si>
  <si>
    <t xml:space="preserve">  - Income Tax Expense (Benefit)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</si>
  <si>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</si>
  <si>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</si>
  <si>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</si>
  <si>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</si>
  <si>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</si>
  <si>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</si>
  <si>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</si>
  <si>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</si>
  <si>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</si>
  <si>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</si>
  <si>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</si>
  <si>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</si>
  <si>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</si>
  <si>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</si>
  <si>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</si>
  <si>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</si>
  <si>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</si>
  <si>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</si>
  <si>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</si>
  <si>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</si>
  <si>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</si>
  <si>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</si>
  <si>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</si>
  <si>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</si>
  <si>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</si>
  <si>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</si>
  <si>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</si>
  <si>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</si>
  <si>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</si>
  <si>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</si>
  <si>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</si>
  <si>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</si>
  <si>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</si>
  <si>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</si>
  <si>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</si>
  <si>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</si>
  <si>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</si>
  <si>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</si>
  <si>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</si>
  <si>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</si>
  <si>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</si>
  <si>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</si>
  <si>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</si>
  <si>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</si>
  <si>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</si>
  <si>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Accounting Standard</t>
  </si>
  <si>
    <t>ACCOUNTING_STANDARD</t>
  </si>
  <si>
    <t>IN GAAP</t>
  </si>
  <si>
    <t>EBITDA</t>
  </si>
  <si>
    <t>EBITDA Margin (T12M)</t>
  </si>
  <si>
    <t>EBITDA_MARGIN</t>
  </si>
  <si>
    <t>EBITA</t>
  </si>
  <si>
    <t>EBIT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</si>
  <si>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</si>
  <si>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</si>
  <si>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</si>
  <si>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</si>
  <si>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</si>
  <si>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</si>
  <si>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</si>
  <si>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</si>
  <si>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</si>
  <si>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</si>
  <si>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</si>
  <si>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</si>
  <si>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Personnel Expenses</t>
  </si>
  <si>
    <t>IS_PERSONNEL_EXP</t>
  </si>
  <si>
    <t>Export Sales</t>
  </si>
  <si>
    <t>IS_EXPORT_SALES</t>
  </si>
  <si>
    <t>Depreciation Expense</t>
  </si>
  <si>
    <t>IS_DEPR_EXP</t>
  </si>
  <si>
    <t>Rental Expense</t>
  </si>
  <si>
    <t>BS_CURR_RENTAL_EXPENSE</t>
  </si>
  <si>
    <t>Datamatics Global Services Ltd (DATA IN) - As Reported</t>
  </si>
  <si>
    <t>Balance Sheet</t>
  </si>
  <si>
    <t xml:space="preserve">  Stockholder Equity</t>
  </si>
  <si>
    <t>Preferred Stock</t>
  </si>
  <si>
    <t>ARD_PREFERRED_STOCK</t>
  </si>
  <si>
    <t>Minority/Non Controlling Int (Stckhldrs Eqty)</t>
  </si>
  <si>
    <t>ARD_MIN_NONCONTROL_INT_SE</t>
  </si>
  <si>
    <t>Other Equity</t>
  </si>
  <si>
    <t>ARD_OTHER_EQUITY</t>
  </si>
  <si>
    <t>Total Shareholders Equity</t>
  </si>
  <si>
    <t>ARD_TOTAL_SHAREHOLDERS_EQUITY</t>
  </si>
  <si>
    <t>Authorized Capital</t>
  </si>
  <si>
    <t>ARD_AUTHORIZED_CAPITAL</t>
  </si>
  <si>
    <t>Total Reserve</t>
  </si>
  <si>
    <t>ARD_TOTAL_RESERVE</t>
  </si>
  <si>
    <t>Authorized Preferred Stocks (Amount)</t>
  </si>
  <si>
    <t>ARD_AUTH_PREF_STOCKS_AMT</t>
  </si>
  <si>
    <t>Total Share Capital</t>
  </si>
  <si>
    <t>ARD_TOTAL_SHARE_CAPITAL</t>
  </si>
  <si>
    <t>Total Shareholders Equity Excluding Minority</t>
  </si>
  <si>
    <t>ARD_TOT_SHARE_EQY_EXCL_MINORITY</t>
  </si>
  <si>
    <t>Deposits On Subscription Of Preferred Stocks</t>
  </si>
  <si>
    <t>ARD_DEPOSITS_ON_SUBSCRIPTION_PS</t>
  </si>
  <si>
    <t>Common Stock &amp; Subscribed Stock</t>
  </si>
  <si>
    <t>ARD_COMMON_STOCK_SUBSCRIBED_STK</t>
  </si>
  <si>
    <t>Total Liabilities and Shareholders Equity</t>
  </si>
  <si>
    <t>ARD_TOT_LIAB_AND_SHAREHOLDER_EQY</t>
  </si>
  <si>
    <t xml:space="preserve">  Non Current Liabilities</t>
  </si>
  <si>
    <t>Total Noncurrent Liabilities</t>
  </si>
  <si>
    <t>ARD_TOT_NONCURRENT_LIABILITIES</t>
  </si>
  <si>
    <t>Long Term Debt</t>
  </si>
  <si>
    <t>ARD_LT_DEBT</t>
  </si>
  <si>
    <t>Deferred Income Taxes (Liabilities)</t>
  </si>
  <si>
    <t>ARD_DEFERRED_INCOME_TAXES_LIAB</t>
  </si>
  <si>
    <t>Other Noncurrent Liabilities</t>
  </si>
  <si>
    <t>ARD_OTH_NONCURRENT_LIABILITIES</t>
  </si>
  <si>
    <t>Deferred Tax Liabilities (Long-Term)</t>
  </si>
  <si>
    <t>ARD_DEFERRED_TAX_LIAB_LT</t>
  </si>
  <si>
    <t>Other Provisions For Liabilities And Charges</t>
  </si>
  <si>
    <t>ARD_OTHER_PROV_FOR_LIAB_CHARGES</t>
  </si>
  <si>
    <t>Provisions For Liabilities And Charges &amp; Other</t>
  </si>
  <si>
    <t>ARD_PROV_LIAB_CHARGES_AND_OTHER</t>
  </si>
  <si>
    <t>Other Liabilities That Are LT Borrowings</t>
  </si>
  <si>
    <t>ARD_OTH_LIABILITIES_LT_BORROWING</t>
  </si>
  <si>
    <t>Other Financial Liabilities (Long-Term)</t>
  </si>
  <si>
    <t>ARD_OTHER_FINANCIAL_LIAB_LT</t>
  </si>
  <si>
    <t>Interest Bearing Liabilities (Noncurrent)</t>
  </si>
  <si>
    <t>ARD_INT_BEARING_LIAB_NONCURRENT</t>
  </si>
  <si>
    <t>Shareholder Equity And Long Term Liabilities</t>
  </si>
  <si>
    <t>ARD_SHAREHOLDER_EQY_LT_LIAB</t>
  </si>
  <si>
    <t>Total Liabilities</t>
  </si>
  <si>
    <t>ARD_TOT_LIABILITIES</t>
  </si>
  <si>
    <t xml:space="preserve">  Noncurrent Assets</t>
  </si>
  <si>
    <t>Long Term Investments</t>
  </si>
  <si>
    <t>ARD_LT_INVEST</t>
  </si>
  <si>
    <t>Construction In Progress</t>
  </si>
  <si>
    <t>ARD_CONSTRUCTION_IN_PROGRESS</t>
  </si>
  <si>
    <t>Property Plant &amp; Equipment - Net</t>
  </si>
  <si>
    <t>ARD_PROPERTY_PLANT_EQUIP_NET</t>
  </si>
  <si>
    <t>Total Intangible Assets - Net</t>
  </si>
  <si>
    <t>ARD_TOTAL_INTANGIBLE_ASSET_NET</t>
  </si>
  <si>
    <t>Other Intangible Assets</t>
  </si>
  <si>
    <t>ARD_OTHER_INTANGIBLE_ASSET</t>
  </si>
  <si>
    <t>Goodwill</t>
  </si>
  <si>
    <t>ARD_GOODWLL</t>
  </si>
  <si>
    <t>Other Noncurrent Assets</t>
  </si>
  <si>
    <t>ARD_OTHER_NONCURRENT_ASSET</t>
  </si>
  <si>
    <t>Deferred Tax Assets (Long-Term)</t>
  </si>
  <si>
    <t>ARD_DEFERRED_TAX_ASSETS_LT</t>
  </si>
  <si>
    <t>Capitalized Software - Net</t>
  </si>
  <si>
    <t>ARD_CAPITALIZED_SOFTWARE_NET</t>
  </si>
  <si>
    <t>Long-Term Loans And Other Debtors</t>
  </si>
  <si>
    <t>ARD_LONG_TERM_LOANS_OTHER_DEBTOR</t>
  </si>
  <si>
    <t>Total Non-Current Assets</t>
  </si>
  <si>
    <t>ARD_TOTAL_NONCURRENT_ASSETS</t>
  </si>
  <si>
    <t>Construction In Progress-Net</t>
  </si>
  <si>
    <t>ARD_CONSTRUCTION_PROGRESS_NET</t>
  </si>
  <si>
    <t>Receivables</t>
  </si>
  <si>
    <t>ARD_RECEIVABLES</t>
  </si>
  <si>
    <t>Other Financial Assets (Long-Term)</t>
  </si>
  <si>
    <t>ARD_OTHER_FINANCIAL_ASSETS_LT</t>
  </si>
  <si>
    <t>Total Fixed Assets &amp; Materials</t>
  </si>
  <si>
    <t>ARD_TOTAL_FIXED_ASSETS_MATERIALS</t>
  </si>
  <si>
    <t>Accumulated Depreciation</t>
  </si>
  <si>
    <t>ARD_ACCUMULATED_DEPREC</t>
  </si>
  <si>
    <t>Deferred Costs</t>
  </si>
  <si>
    <t>ARD_DEFERRED_COSTS</t>
  </si>
  <si>
    <t>Total Assets</t>
  </si>
  <si>
    <t>ARD_TOT_ASSETS</t>
  </si>
  <si>
    <t xml:space="preserve">  Current Assets</t>
  </si>
  <si>
    <t>Cash and Equivalents</t>
  </si>
  <si>
    <t>ARD_CASH_AND_EQUIVALENTS</t>
  </si>
  <si>
    <t>Accounts Receivable - Trade</t>
  </si>
  <si>
    <t>ARD_ACCTS_RECEIVABLE_TRADE</t>
  </si>
  <si>
    <t>Prepaid Expenses and Other</t>
  </si>
  <si>
    <t>ARD_PREPAID_EXP_AND_OTHER</t>
  </si>
  <si>
    <t>Assets Held For Sale</t>
  </si>
  <si>
    <t>ARD_ASSETS_HELD_FOR_SALE</t>
  </si>
  <si>
    <t>Other Current Assets</t>
  </si>
  <si>
    <t>ARD_OTHER_CURRENT_ASSETS</t>
  </si>
  <si>
    <t>Short-Term Investments</t>
  </si>
  <si>
    <t>ARD_ST_INVEST</t>
  </si>
  <si>
    <t>Accounts Receivable And Other Receivables</t>
  </si>
  <si>
    <t>ARD_ACCTS_REC_OTHER_REC</t>
  </si>
  <si>
    <t>Short-Term Loans</t>
  </si>
  <si>
    <t>ARD_ST_LOANS</t>
  </si>
  <si>
    <t>Other Financial Assets - Short Term</t>
  </si>
  <si>
    <t>ARD_OTHER_FINL_ASSETS_ST</t>
  </si>
  <si>
    <t>Current Income Tax Asset</t>
  </si>
  <si>
    <t>ARD_CURRENT_INCOME_TAX_ASSET</t>
  </si>
  <si>
    <t>Current Portion Of Long-Term Investments</t>
  </si>
  <si>
    <t>ARD_CUR_POR_LT_INVESTMENTS</t>
  </si>
  <si>
    <t>Investment in Mutual Funds - Short Term</t>
  </si>
  <si>
    <t>ARD_INVESTMENT_IN_MF_ST</t>
  </si>
  <si>
    <t>Inventories</t>
  </si>
  <si>
    <t>ARD_INVENTORY</t>
  </si>
  <si>
    <t>Total Current Assets</t>
  </si>
  <si>
    <t>ARD_TOTAL_CUR_ASSETS</t>
  </si>
  <si>
    <t xml:space="preserve">  Current Liabilities</t>
  </si>
  <si>
    <t>Accounts Payable - Trade</t>
  </si>
  <si>
    <t>ARD_ACCOUNTS_PAYABLE_TRADE</t>
  </si>
  <si>
    <t>Current Portion of Long-Term Debt</t>
  </si>
  <si>
    <t>ARD_CURRENT_PORTION_OF_LT_DEBT</t>
  </si>
  <si>
    <t>Short-Term Borrowings</t>
  </si>
  <si>
    <t>ARD_ST_BORROW</t>
  </si>
  <si>
    <t>Other Current Liabilities</t>
  </si>
  <si>
    <t>ARD_OTHER_CURRENT_LIABILITIES</t>
  </si>
  <si>
    <t>Income Taxes Accrued/Payable</t>
  </si>
  <si>
    <t>ARD_INCOME_TAX_ACCRUED_PAYABLE</t>
  </si>
  <si>
    <t>Short-Term Provisions</t>
  </si>
  <si>
    <t>ARD_ST_PROVISIONS</t>
  </si>
  <si>
    <t>Trade Payable And Other Payables</t>
  </si>
  <si>
    <t>ARD_TRADE_PAYABLE_OTHER_PAYABLES</t>
  </si>
  <si>
    <t>Other Financial Liabilities (Short-Term)</t>
  </si>
  <si>
    <t>ARD_OTHER_FINANCIAL_LIAB_ST</t>
  </si>
  <si>
    <t>Other Liabilities That Are ST Borrowings</t>
  </si>
  <si>
    <t>ARD_OTH_LIABILITIES_ST_BORROWING</t>
  </si>
  <si>
    <t>Accrued Expenses and Other</t>
  </si>
  <si>
    <t>ARD_ACCRUED_EXP_AND_OTHER</t>
  </si>
  <si>
    <t>Net Current Assets</t>
  </si>
  <si>
    <t>ARD_NET_CURRENT_ASSETS</t>
  </si>
  <si>
    <t>Total Assets Less Current Liabilities</t>
  </si>
  <si>
    <t>ARD_TOTAL_ASSETS_LESS_CUR_LIAB</t>
  </si>
  <si>
    <t>Total Current Liabilities</t>
  </si>
  <si>
    <t>ARD_TOTAL_CURRENT_LIABILITIES</t>
  </si>
  <si>
    <t xml:space="preserve">  Reference Items</t>
  </si>
  <si>
    <t>ARDR_CASH_AND_EQUIVALENTS</t>
  </si>
  <si>
    <t>ARDR_ACCTS_RECEIVABLE_TRADE</t>
  </si>
  <si>
    <t>Prepaid Expenses (ST)</t>
  </si>
  <si>
    <t>ARDR_PREPAID_EXPENSES_ST</t>
  </si>
  <si>
    <t>Restricted Cash (ST)</t>
  </si>
  <si>
    <t>ARDR_RESTRICTED_CASH_ST</t>
  </si>
  <si>
    <t>ARDR_OTHER_CURRENT_ASSETS</t>
  </si>
  <si>
    <t>ARDR_LT_INVEST</t>
  </si>
  <si>
    <t>Land</t>
  </si>
  <si>
    <t>ARDR_LAND</t>
  </si>
  <si>
    <t>Buildings</t>
  </si>
  <si>
    <t>ARDR_BUILDING</t>
  </si>
  <si>
    <t>Leasehold Improvements</t>
  </si>
  <si>
    <t>ARDR_LEASEHOLD_IMPROVEMENTS</t>
  </si>
  <si>
    <t>ARDR_CONSTRUCTION_IN_PROGRESS</t>
  </si>
  <si>
    <t>Property Plant &amp; Equipment - Gross</t>
  </si>
  <si>
    <t>ARDR_PROPERTY_PLANT_EQUIP_GROSS</t>
  </si>
  <si>
    <t>ARDR_ACCUMULATED_DEPREC</t>
  </si>
  <si>
    <t>ARDR_PROPERTY_PLANT_EQUIP_NET</t>
  </si>
  <si>
    <t>Deferred Income Tax Asset (LT)</t>
  </si>
  <si>
    <t>ARDR_DEFERRED_INC_TAX_ASSET_LT</t>
  </si>
  <si>
    <t>ARDR_TOTAL_INTANGIBLE_ASSET_NET</t>
  </si>
  <si>
    <t>ARDR_OTHER_INTANGIBLE_ASSET</t>
  </si>
  <si>
    <t>Investment In Affiliates/Joint Ventures</t>
  </si>
  <si>
    <t>ARDR_INVESTMENT_IN_AFFILIATE_JV</t>
  </si>
  <si>
    <t>ARDR_GOODWLL</t>
  </si>
  <si>
    <t>Patents/Trademarks/Copyrights</t>
  </si>
  <si>
    <t>ARDR_PATENTS_TRADEMRK_COPYRIGHT</t>
  </si>
  <si>
    <t>ARDR_OTHER_NONCURRENT_ASSET</t>
  </si>
  <si>
    <t>ARDR_ACCOUNTS_PAYABLE_TRADE</t>
  </si>
  <si>
    <t>ARDR_CURRENT_PORTION_OF_LT_DEBT</t>
  </si>
  <si>
    <t>ARDR_ST_BORROW</t>
  </si>
  <si>
    <t>Accrued Compensation/Postretirement Oblig</t>
  </si>
  <si>
    <t>ARDR_ACC_COMP_POSTRETIRE_OBLIG</t>
  </si>
  <si>
    <t>Deferred/Unearned Revenue (ST)</t>
  </si>
  <si>
    <t>ARDR_DEFERRED_UNEARNED_REV_ST</t>
  </si>
  <si>
    <t>Interest Accrued/Payable</t>
  </si>
  <si>
    <t>ARDR_INTEREST_ACCRUED_PAYABLE</t>
  </si>
  <si>
    <t>Dividends Accrued/Payable</t>
  </si>
  <si>
    <t>ARDR_DVD_ACCRUED_PAYABLE</t>
  </si>
  <si>
    <t>ARDR_OTHER_CURRENT_LIABILITIES</t>
  </si>
  <si>
    <t>ARDR_LT_DEBT</t>
  </si>
  <si>
    <t>ARDR_DEFERRED_INCOME_TAXES_LIAB</t>
  </si>
  <si>
    <t>ARDR_OTH_NONCURRENT_LIABILITIES</t>
  </si>
  <si>
    <t>ARDR_PREFERRED_STOCK</t>
  </si>
  <si>
    <t>Min/Non Cntrlling Int(Stckhldrs Eqty)</t>
  </si>
  <si>
    <t>ARDR_MIN_NONCONTROL_INT_SE</t>
  </si>
  <si>
    <t>Common Stock</t>
  </si>
  <si>
    <t>ARDR_COMMON_STOCK</t>
  </si>
  <si>
    <t>Additional Paid In Capital</t>
  </si>
  <si>
    <t>ARDR_ADDITIONAL_PAID_IN_CAPITAL</t>
  </si>
  <si>
    <t>Retained Earnings (Accumulated Deficit)</t>
  </si>
  <si>
    <t>ARDR_RETAINED_EARN_ACC_DEFICIT</t>
  </si>
  <si>
    <t>ARDR_OTHER_EQUITY</t>
  </si>
  <si>
    <t>Shares Outstanding</t>
  </si>
  <si>
    <t>ARDR_SHARES_OUTSTANDING</t>
  </si>
  <si>
    <t>Par Value</t>
  </si>
  <si>
    <t>ARDR_PAR_VALUE</t>
  </si>
  <si>
    <t>ARDR_INCOME_TAX_ACCRUED_PAYABLE</t>
  </si>
  <si>
    <t>Shares Issued</t>
  </si>
  <si>
    <t>ARDR_SHARES_ISSUED</t>
  </si>
  <si>
    <t>Other Gross Fixed Assets</t>
  </si>
  <si>
    <t>ARDR_OTHER_GROSS_FIXED_ASSETS</t>
  </si>
  <si>
    <t>(Over/Underfunded) Post Retirement Benefit</t>
  </si>
  <si>
    <t>ARDR_OVER_UNDER_POST_RETIRE_BEN</t>
  </si>
  <si>
    <t>Current Rental Expense</t>
  </si>
  <si>
    <t>ARDR_CURRENT_RENTAL_EXP</t>
  </si>
  <si>
    <t>Rental Expense - Year 1</t>
  </si>
  <si>
    <t>ARDR_RENTAL_EXP_YR1</t>
  </si>
  <si>
    <t>Rental Expense - Beyond Year 5</t>
  </si>
  <si>
    <t>ARDR_RENTAL_EXP_BEYOND_YR5</t>
  </si>
  <si>
    <t>Deferred Tax Assets (LT)</t>
  </si>
  <si>
    <t>ARDR_DEFERRED_TAX_ASSETS_LT</t>
  </si>
  <si>
    <t>Disc Rate Used On Liabs-Other/Healthcare %</t>
  </si>
  <si>
    <t>ARDR_DISC_RATE_USED_LIAB_HEALTH</t>
  </si>
  <si>
    <t>Allowance For Doubtful Accounts</t>
  </si>
  <si>
    <t>ARDR_ALLOW_FOR_DOUBTFUL_ACCTS</t>
  </si>
  <si>
    <t>Unbilled Revenue</t>
  </si>
  <si>
    <t>ARDR_UNBILLED_REVENUE</t>
  </si>
  <si>
    <t>ARDR_CAPITALIZED_SOFTWARE_NET</t>
  </si>
  <si>
    <t>ESOP Shares (Amount)</t>
  </si>
  <si>
    <t>ARDR_ESOP_SHARES_AMOUNT</t>
  </si>
  <si>
    <t>ARDR_TOTAL_SHAREHOLDERS_EQUITY</t>
  </si>
  <si>
    <t>Fair Value of Post Retirement Plan Assets</t>
  </si>
  <si>
    <t>ARDR_FAIR_VAL_POST_RETIRE_ASSETS</t>
  </si>
  <si>
    <t>Projected Post Retirement Benefit Oblig</t>
  </si>
  <si>
    <t>ARDR_PROJ_POST_RETIRE_BEN_OBLIG</t>
  </si>
  <si>
    <t>Accrued Interest Receivable</t>
  </si>
  <si>
    <t>ARDR_ACCRUED_INT_RECEIVABLE</t>
  </si>
  <si>
    <t>ARDR_ST_INVEST</t>
  </si>
  <si>
    <t>Customer Deposits/Advances (ST)</t>
  </si>
  <si>
    <t>ARDR_CUSTOMER_DEPOSIT_ADV_ST</t>
  </si>
  <si>
    <t>Prepaid Expenses (LT)</t>
  </si>
  <si>
    <t>ARDR_PREPAID_EXPENSES_LT</t>
  </si>
  <si>
    <t>Customer Deposits/Advances (Long-Term)</t>
  </si>
  <si>
    <t>ARDR_CUSTOMER_DEPOSIT_ADVANCE_LT</t>
  </si>
  <si>
    <t>ARDR_TOT_LIAB_AND_SHHOLDER_EQY</t>
  </si>
  <si>
    <t>Other Reserves</t>
  </si>
  <si>
    <t>ARDR_OTHER_RESERVES</t>
  </si>
  <si>
    <t>Other Payables</t>
  </si>
  <si>
    <t>ARDR_OTHER_PAYABLES</t>
  </si>
  <si>
    <t>Customer Lists/Contracts</t>
  </si>
  <si>
    <t>ARDR_CUSTOMER_LISTS_CONTRACTS</t>
  </si>
  <si>
    <t>Number of Employees at Period End Date</t>
  </si>
  <si>
    <t>ARDR_NUM_OF_EMPLOYEES_PERIOD_END</t>
  </si>
  <si>
    <t>Employer Contribution (Postretirement)</t>
  </si>
  <si>
    <t>ARDR_EMPLOYER_CONTRIB_POST_RETIR</t>
  </si>
  <si>
    <t>Benefits Paid (Postretirement)</t>
  </si>
  <si>
    <t>ARDR_BENEFITS_PAID_POST_RETIR</t>
  </si>
  <si>
    <t>Other Fixed Assets</t>
  </si>
  <si>
    <t>ARDR_OTHER_FIXED_ASSETS</t>
  </si>
  <si>
    <t>Cumulative Translation Adjustment</t>
  </si>
  <si>
    <t>ARDR_CUM_TRANSLATION_ADJUST</t>
  </si>
  <si>
    <t>% Of Foreign Shareholders</t>
  </si>
  <si>
    <t>ARDR_%_OF_FOREIGN_SHAREHOLDERS</t>
  </si>
  <si>
    <t>ARDR_LT_LOANS_AND_OTHER_DEBTOR</t>
  </si>
  <si>
    <t>Accumulated Amortization Intangible Assets</t>
  </si>
  <si>
    <t>ARDR_ACCCUM_AMORT_INTANG_ASSET</t>
  </si>
  <si>
    <t>ARDR_AUTHORIZED_CAPITAL</t>
  </si>
  <si>
    <t>Bank Loans - Noncurrent</t>
  </si>
  <si>
    <t>ARDR_BANK_LOANS_NONCURRENT</t>
  </si>
  <si>
    <t>Capital Redemption Reserve</t>
  </si>
  <si>
    <t>ARDR_CAPITAL_REDEMPTION_RESERVE</t>
  </si>
  <si>
    <t>Capital Reserve</t>
  </si>
  <si>
    <t>ARDR_CAPITAL_RSRV</t>
  </si>
  <si>
    <t>Total Contingent Payable</t>
  </si>
  <si>
    <t>ARDR_TOTAL_CONTIGENT_PAYABLE</t>
  </si>
  <si>
    <t>Deferred Tax - Net</t>
  </si>
  <si>
    <t>ARDR_DEFERRED_TAX_NET</t>
  </si>
  <si>
    <t>Intangible Assets - Gross</t>
  </si>
  <si>
    <t>ARDR_INTANGIBLE_ASSET_GROSS</t>
  </si>
  <si>
    <t>Margin Deposits</t>
  </si>
  <si>
    <t>ARDR_MARGIN_DEPOSITS</t>
  </si>
  <si>
    <t>Long-Term Loans</t>
  </si>
  <si>
    <t>ARDR_LONG_TERM_LOANS</t>
  </si>
  <si>
    <t>ARDR_ST_LOANS</t>
  </si>
  <si>
    <t>Options Granted During Period</t>
  </si>
  <si>
    <t>ARDR_OPTIONS_GRANTED_DURING_PER</t>
  </si>
  <si>
    <t>Other Creditors (ST)</t>
  </si>
  <si>
    <t>ARDR_OTHER_CREDITORS_ST</t>
  </si>
  <si>
    <t>Other Provisions For Liabilities &amp; Charges</t>
  </si>
  <si>
    <t>ARDR_OTHER_PROV_FOR_LIAB_CHARGES</t>
  </si>
  <si>
    <t>Other Reserve</t>
  </si>
  <si>
    <t>ARDR_OTHER_RESERVE</t>
  </si>
  <si>
    <t>Other Short-Term Loans/Borrowings</t>
  </si>
  <si>
    <t>ARDR_OTHER_ST_LOANS_BORROWINGS</t>
  </si>
  <si>
    <t>Trade Receivables-Gross</t>
  </si>
  <si>
    <t>ARDR_TRADE_RECEIVABLES_GROSS</t>
  </si>
  <si>
    <t>Total Number Of Shareholders</t>
  </si>
  <si>
    <t>ARDR_TOTAL_NUMBER_OF_SHRHLDRS</t>
  </si>
  <si>
    <t>Provisions For Liabilities/Charges/Other</t>
  </si>
  <si>
    <t>ARDR_PROV_LIAB_CHARGES_AND_OTHER</t>
  </si>
  <si>
    <t>Shares Authorized</t>
  </si>
  <si>
    <t>ARDR_SHARES_AUTHORIZED</t>
  </si>
  <si>
    <t>Amts Due -Related Parties Current-Int Bear</t>
  </si>
  <si>
    <t>ARDR_AMT_DUE_REL_PARTIES_INTBEAR</t>
  </si>
  <si>
    <t>Fixed Deposits</t>
  </si>
  <si>
    <t>ARDR_FIXED_DEPOSITS</t>
  </si>
  <si>
    <t>ARDR_OTHER_FINL_ASSETS_ST</t>
  </si>
  <si>
    <t>Prepayment/Advance</t>
  </si>
  <si>
    <t>ARDR_PREPAYMENT_ADVANCE</t>
  </si>
  <si>
    <t>Authorized Common Stocks (Number)</t>
  </si>
  <si>
    <t>ARDR_AUTH_COMMON_STOCKS_NUMBER</t>
  </si>
  <si>
    <t>Authorized Common Capital (Amount)</t>
  </si>
  <si>
    <t>ARDR_AUTH_COMM_CAPT_AMT</t>
  </si>
  <si>
    <t>Plant And Equipment - Gross</t>
  </si>
  <si>
    <t>ARDR_PLANT_AND_EQUIPMENT_GROSS</t>
  </si>
  <si>
    <t>Buildings - Net</t>
  </si>
  <si>
    <t>ARDR_BUILDING_NET</t>
  </si>
  <si>
    <t>Capital Commit Contracted Not Provided For</t>
  </si>
  <si>
    <t>ARDR_CAP_COMMIT_CNT_NOT_PROVIDED</t>
  </si>
  <si>
    <t>Cash on Hand</t>
  </si>
  <si>
    <t>ARDR_CASH_ON_HAND</t>
  </si>
  <si>
    <t>Construction In Progress - Net</t>
  </si>
  <si>
    <t>ARDR_CONSTRUCTION_PROGRESS_NET</t>
  </si>
  <si>
    <t>Employee Entitlements - Noncurrent</t>
  </si>
  <si>
    <t>ARDR_EMPLOYEE_ENTITLE_NONCUR</t>
  </si>
  <si>
    <t>General Reserves</t>
  </si>
  <si>
    <t>ARDR_GENERAL_RESERVES</t>
  </si>
  <si>
    <t>Equity Investments Associates/Affiliates</t>
  </si>
  <si>
    <t>ARDR_EQY_INVEST_ASSOC_AFFILIATES</t>
  </si>
  <si>
    <t>Land - Net</t>
  </si>
  <si>
    <t>ARDR_LAND_NET</t>
  </si>
  <si>
    <t>Leasehold Rights</t>
  </si>
  <si>
    <t>ARDR_LEASEHOLD_RIGHTS</t>
  </si>
  <si>
    <t>Operating Leases Expiring Within 2 &amp; 5 Yrs</t>
  </si>
  <si>
    <t>ARDR_OP_LEASES_EXP_2_TO_5YRS</t>
  </si>
  <si>
    <t>ARDR_OTHER_FINL_ASSETS_LT</t>
  </si>
  <si>
    <t>Preferred Stock Authorized Shares</t>
  </si>
  <si>
    <t>ARDR_PREFERENCE_STOCK_AUTH_SHRS</t>
  </si>
  <si>
    <t>ARDR_ST_PROVISIONS</t>
  </si>
  <si>
    <t>Subscribed Capital</t>
  </si>
  <si>
    <t>ARDR_SUBSCRIBED_CAPITAL</t>
  </si>
  <si>
    <t>Other Tax Payable</t>
  </si>
  <si>
    <t>ARDR_OTHER_TAX_PAYABLE</t>
  </si>
  <si>
    <t>ARDR_AUTH_PREF_STOCKS_AMT</t>
  </si>
  <si>
    <t>Total Fixed Assets</t>
  </si>
  <si>
    <t>ARDR_TOTAL_FIXED_ASSETS</t>
  </si>
  <si>
    <t>Plant Machinery And Equipment - Gross</t>
  </si>
  <si>
    <t>ARDR_PLANT_MACHINERY_EQUIP_GROSS</t>
  </si>
  <si>
    <t>Due To Banks (ST)</t>
  </si>
  <si>
    <t>ARDR_DUE_TO_BANKS_ST</t>
  </si>
  <si>
    <t>Other Provisions - Current</t>
  </si>
  <si>
    <t>ARDR_OTHER_PROVISIONS_CURRENT</t>
  </si>
  <si>
    <t>Construction In Progress - Accum Deprec</t>
  </si>
  <si>
    <t>ARDR_CONSTRUCTION_PROG_ACC_DEPR</t>
  </si>
  <si>
    <t>Total Shareholder Equity Excludes Minority</t>
  </si>
  <si>
    <t>ARDR_TOT_SHARE_EQY_EXCL_MINORITY</t>
  </si>
  <si>
    <t>ARDR_CURRENT_INCOME_TAX_ASSET</t>
  </si>
  <si>
    <t>Fixed Deposit -1 Year And Over</t>
  </si>
  <si>
    <t>ARDR_FIXED_DEPOSIT_1YR_AND_OVER</t>
  </si>
  <si>
    <t>Secured Interest Bearing Liabilities</t>
  </si>
  <si>
    <t>ARDR_SECURED_INT_BEARING_LIABS</t>
  </si>
  <si>
    <t>Borrow &amp; Deposits - From Finl Institutions</t>
  </si>
  <si>
    <t>ARDR_BORROW_DEP_FROM_FINL_INSTIT</t>
  </si>
  <si>
    <t>Options Exercised During the Period</t>
  </si>
  <si>
    <t>ARDR_OPTIONS_EXERCISED_DUR_PER</t>
  </si>
  <si>
    <t>Options Expired During the Period</t>
  </si>
  <si>
    <t>ARDR_OPTIONS_EXPIRED_DUR_PER</t>
  </si>
  <si>
    <t>Pension/Postretirement Provisions ST</t>
  </si>
  <si>
    <t>ARDR_PENSION_POSTRETIRE_PROVS_ST</t>
  </si>
  <si>
    <t>Pension/Postretirement Provisions LT</t>
  </si>
  <si>
    <t>ARDR_PENSION_POSTRETIRE_PROVS_LT</t>
  </si>
  <si>
    <t>ARDR_COMMON_STOCK_SUBSCRIBED_STK</t>
  </si>
  <si>
    <t>Other Financial Liabilities (ST)</t>
  </si>
  <si>
    <t>ARDR_OTHER_FINANCIAL_LIAB_ST</t>
  </si>
  <si>
    <t>Computers - Gross</t>
  </si>
  <si>
    <t>ARDR_COMPUTERS_GROSS</t>
  </si>
  <si>
    <t>Freehold Land - Gross</t>
  </si>
  <si>
    <t>ARDR_FREEHOLD_LAND_GROSS</t>
  </si>
  <si>
    <t>Leasehold Land - Gross</t>
  </si>
  <si>
    <t>ARDR_LEASEHOLD_LAND_GROSS</t>
  </si>
  <si>
    <t>Hedging Reserve</t>
  </si>
  <si>
    <t>ARDR_HEDGING_RESERVE</t>
  </si>
  <si>
    <t>ARDR_OTHER_FINANCIAL_LIAB_LT</t>
  </si>
  <si>
    <t>Cash Equivalents</t>
  </si>
  <si>
    <t>ARDR_CASH_EQUIVS</t>
  </si>
  <si>
    <t>Tools Furniture And Fixtures</t>
  </si>
  <si>
    <t>ARDR_TOOLS_FURNITURE_FIXTURES</t>
  </si>
  <si>
    <t>Motor Vehicles - Gross</t>
  </si>
  <si>
    <t>ARDR_MOTOR_VEHICLES_GROSS</t>
  </si>
  <si>
    <t>Machinery And Equipment - Net</t>
  </si>
  <si>
    <t>ARDR_MACHINERY_AND_EQUIPMENT_NET</t>
  </si>
  <si>
    <t>Short Term Loan (Secured)</t>
  </si>
  <si>
    <t>ARDR_SHORT_TERM_LOAN_SECURED</t>
  </si>
  <si>
    <t>Short Term Loan (Unsecured)</t>
  </si>
  <si>
    <t>ARDR_SHORT_TERM_LOAN_UNSECURED</t>
  </si>
  <si>
    <t>Long Term Loan (Secured)</t>
  </si>
  <si>
    <t>ARDR_LONG_TERM_LOAN_SECURED</t>
  </si>
  <si>
    <t>ARDR_INVESTMENT_IN_MF_ST</t>
  </si>
  <si>
    <t>Investment in Mutual Funds - Long Term</t>
  </si>
  <si>
    <t>ARDR_INVESTMENT_IN_MF_LT</t>
  </si>
  <si>
    <t>Service Cost (OPRB)</t>
  </si>
  <si>
    <t>ARDR_SERVICE_COST_OPRB</t>
  </si>
  <si>
    <t>Interest Cost (OPRB)</t>
  </si>
  <si>
    <t>ARDR_INTEREST_COST_OPRB</t>
  </si>
  <si>
    <t>Expected Return On Plan Assets (OPRB)</t>
  </si>
  <si>
    <t>ARDR_EXP_RETURN_PLAN_ASSETS_OPRB</t>
  </si>
  <si>
    <t>Actuarial Losses or Gains - OPEB</t>
  </si>
  <si>
    <t>ARDR_ACTUARIAL_LOSSES_GAINS_OPEB</t>
  </si>
  <si>
    <t>ARDR Full Time Employees</t>
  </si>
  <si>
    <t>ARDR_FULL_TIME_EMPLOYEES</t>
  </si>
  <si>
    <t>ST Borrowings And Current Portion -LT Debt</t>
  </si>
  <si>
    <t>ARDR_ST_BORROW_CUR_POR_LT_DEBT</t>
  </si>
  <si>
    <t>Lines of Credit (LT)</t>
  </si>
  <si>
    <t>ARDR_LINES_OF_CREDIT_LT</t>
  </si>
  <si>
    <t>Work In Progress</t>
  </si>
  <si>
    <t>ARDR_WORK_IN_PROGRESS</t>
  </si>
  <si>
    <t>Datamatics Global Services Ltd (DATA IN) - Common Size</t>
  </si>
  <si>
    <t>BS_TOT_ASSET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</si>
  <si>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</si>
  <si>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</si>
  <si>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</si>
  <si>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</si>
  <si>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</si>
  <si>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</si>
  <si>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</si>
  <si>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</si>
  <si>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</si>
  <si>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</si>
  <si>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</si>
  <si>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</si>
  <si>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>—</t>
  </si>
  <si>
    <t xml:space="preserve">  + Unbilled Revenues</t>
  </si>
  <si>
    <t>BS_UNBILLED_REVENUES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</si>
  <si>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</si>
  <si>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</si>
  <si>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</si>
  <si>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</si>
  <si>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</si>
  <si>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</si>
  <si>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</si>
  <si>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</si>
  <si>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</si>
  <si>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</si>
  <si>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</si>
  <si>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</si>
  <si>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Prepaid Expenses</t>
  </si>
  <si>
    <t>BS_PREPAY</t>
  </si>
  <si>
    <t xml:space="preserve">    + Derivative &amp; Hedging Assets</t>
  </si>
  <si>
    <t>BS_DERIV_HEDGING_ASST_ST</t>
  </si>
  <si>
    <t xml:space="preserve">    + Assets Held-for-Sale</t>
  </si>
  <si>
    <t>BS_ASSETS_HELD_FOR_SALE_ST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</si>
  <si>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</si>
  <si>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</si>
  <si>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</si>
  <si>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</si>
  <si>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</si>
  <si>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</si>
  <si>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</si>
  <si>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</si>
  <si>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</si>
  <si>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</si>
  <si>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</si>
  <si>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</si>
  <si>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</si>
  <si>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  + LT Investments</t>
  </si>
  <si>
    <t>BS_LONG_TERM_INVESTMENTS</t>
  </si>
  <si>
    <t xml:space="preserve">    + LT Receivables</t>
  </si>
  <si>
    <t>BS_LT_RECEIVABLES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</si>
  <si>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</si>
  <si>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</si>
  <si>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</si>
  <si>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</si>
  <si>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</si>
  <si>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</si>
  <si>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</si>
  <si>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</si>
  <si>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Prepaid Expense</t>
  </si>
  <si>
    <t>BS_PREPAID_EXPENSE_LT</t>
  </si>
  <si>
    <t xml:space="preserve">    + Deferred Tax Assets</t>
  </si>
  <si>
    <t>BS_DEFERRED_TAX_ASSETS_LT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</si>
  <si>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</si>
  <si>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</si>
  <si>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</si>
  <si>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</si>
  <si>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</si>
  <si>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</si>
  <si>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</si>
  <si>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</si>
  <si>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</si>
  <si>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</si>
  <si>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</si>
  <si>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Accrued Taxes</t>
  </si>
  <si>
    <t>BS_TAXES_PAYABLE</t>
  </si>
  <si>
    <t xml:space="preserve">    + Interest &amp; Dividends Payable</t>
  </si>
  <si>
    <t>INTEREST_DIVIDENDS_PAYABLE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</si>
  <si>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</si>
  <si>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</si>
  <si>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</si>
  <si>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</si>
  <si>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</si>
  <si>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</si>
  <si>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</si>
  <si>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</si>
  <si>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</si>
  <si>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</si>
  <si>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</si>
  <si>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</si>
  <si>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</si>
  <si>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</si>
  <si>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</si>
  <si>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</si>
  <si>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</si>
  <si>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</si>
  <si>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</si>
  <si>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</si>
  <si>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</si>
  <si>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</si>
  <si>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</si>
  <si>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</si>
  <si>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</si>
  <si>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</si>
  <si>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</si>
  <si>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</si>
  <si>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</si>
  <si>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</si>
  <si>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</si>
  <si>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</si>
  <si>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</si>
  <si>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</si>
  <si>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</si>
  <si>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</si>
  <si>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</si>
  <si>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</si>
  <si>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</si>
  <si>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NON_CUR_LIAB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</si>
  <si>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</si>
  <si>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</si>
  <si>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</si>
  <si>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</si>
  <si>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</si>
  <si>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</si>
  <si>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</si>
  <si>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</si>
  <si>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</si>
  <si>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</si>
  <si>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</si>
  <si>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</si>
  <si>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</si>
  <si>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</si>
  <si>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</si>
  <si>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</si>
  <si>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</si>
  <si>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</si>
  <si>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</si>
  <si>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</si>
  <si>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</si>
  <si>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</si>
  <si>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</si>
  <si>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BS_SH_OUT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</si>
  <si>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</si>
  <si>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</si>
  <si>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</si>
  <si>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</si>
  <si>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</si>
  <si>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</si>
  <si>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Capital Leases - Total</t>
  </si>
  <si>
    <t>BS_TOTAL_CAPITAL_LEASES</t>
  </si>
  <si>
    <t>Percent Of Foreign Ownership</t>
  </si>
  <si>
    <t>BS_PERCENT_OF_FOREIGN_OWNERSHIP</t>
  </si>
  <si>
    <t>Number Of Shareholders</t>
  </si>
  <si>
    <t>BS_NUM_OF_SHAREHOLDERS</t>
  </si>
  <si>
    <t>BS_OPTIONS_GRANTED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</si>
  <si>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</si>
  <si>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</si>
  <si>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</si>
  <si>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</si>
  <si>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</si>
  <si>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</si>
  <si>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</si>
  <si>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</si>
  <si>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Number of Employees</t>
  </si>
  <si>
    <t>NUM_OF_EMPLOYEES</t>
  </si>
  <si>
    <t>Cash Flow</t>
  </si>
  <si>
    <t xml:space="preserve">  Cash From Operating Activities</t>
  </si>
  <si>
    <t>Depreciation And Amortization - CF</t>
  </si>
  <si>
    <t>ARD_DEPRECIATION_AND_AMORT_CF</t>
  </si>
  <si>
    <t>Provision For Doubtful Accounts - CF</t>
  </si>
  <si>
    <t>ARD_PROVISION_DOUBTFUL_ACCT_CF</t>
  </si>
  <si>
    <t>Bad Debt Expense</t>
  </si>
  <si>
    <t>ARD_BAD_DEBT_EXPENSE</t>
  </si>
  <si>
    <t>Stock Based Compensation</t>
  </si>
  <si>
    <t>ARD_STOCK_BASED_COMPENSATION</t>
  </si>
  <si>
    <t>Other Non-Cash Items</t>
  </si>
  <si>
    <t>ARD_OTHER_NON_CASH_ITEMS</t>
  </si>
  <si>
    <t>Change in Accounts Payable</t>
  </si>
  <si>
    <t>ARD_CHANGE_IN_ACCOUNTS_PAYABLE</t>
  </si>
  <si>
    <t>Change in Accounts Receivable</t>
  </si>
  <si>
    <t>ARD_CHG_IN_ACCOUNTS_RECEIVABLE</t>
  </si>
  <si>
    <t>Change in Prepaid Expenses</t>
  </si>
  <si>
    <t>ARD_CHANGE_IN_PREPAID_EXP</t>
  </si>
  <si>
    <t>Change in Accrued Expenses</t>
  </si>
  <si>
    <t>ARD_CHANGE_IN_ACCRUED_EXP</t>
  </si>
  <si>
    <t>Change in Other Current Assets</t>
  </si>
  <si>
    <t>ARD_CHANGE_IN_OTHER_CUR_ASSETS</t>
  </si>
  <si>
    <t>Change in Other Current Liabilities</t>
  </si>
  <si>
    <t>ARD_CHG_IN_OTHER_CURRENT_LIAB</t>
  </si>
  <si>
    <t>Cash Paid For Taxes</t>
  </si>
  <si>
    <t>ARD_CASH_PAID_FOR_TAXES</t>
  </si>
  <si>
    <t>Pension/Postretirement Benefits</t>
  </si>
  <si>
    <t>ARD_PENSION_POSTRETIREMENT_BEN</t>
  </si>
  <si>
    <t>Change in Other Assets</t>
  </si>
  <si>
    <t>ARD_CHANGE_IN_OTHER_ASSETS</t>
  </si>
  <si>
    <t>Change In Other Liabilites</t>
  </si>
  <si>
    <t>ARD_CHG_IN_OTHER_LIABILITES</t>
  </si>
  <si>
    <t>Total Cash Flows From Operations</t>
  </si>
  <si>
    <t>ARD_TOT_CASH_FLOWS_FROM_OPS</t>
  </si>
  <si>
    <t>Net Change In Loans</t>
  </si>
  <si>
    <t>ARD_NET_CHANGE_IN_LOANS</t>
  </si>
  <si>
    <t>Write-Offs</t>
  </si>
  <si>
    <t>ARD_WRITE_OFFS</t>
  </si>
  <si>
    <t>Gain (Loss) On Sale of Investments and Mkt Sec</t>
  </si>
  <si>
    <t>ARD_GL_ON_SALE_OF_INV_MKT_SEC</t>
  </si>
  <si>
    <t>Foreign Exchange Gains/Losses</t>
  </si>
  <si>
    <t>ARD_FOREIGN_EXCHANGE_GAIN_LOSS</t>
  </si>
  <si>
    <t>Total Cashflow From Ops Before Working Capital</t>
  </si>
  <si>
    <t>ARD_TOT_CF_FROM_OPS_BEF_WORK_CAP</t>
  </si>
  <si>
    <t>Change In Other Provisions</t>
  </si>
  <si>
    <t>ARD_CHANGE_OTHER_PROVISIONS</t>
  </si>
  <si>
    <t>Gain (Loss) From The Sale Of Fixed Assets</t>
  </si>
  <si>
    <t>ARD_GAIN_LOSS_SALES_FIXED_ASSETS</t>
  </si>
  <si>
    <t>Change In Trade Payables &amp; Other Current Liab</t>
  </si>
  <si>
    <t>ARD_CHNG_TRADE_PAY_OTH_CUR_LIAB</t>
  </si>
  <si>
    <t>Dvds Received (Non Joint Ventures / Associate</t>
  </si>
  <si>
    <t>ARD_DIV_RECEIVED_NON_JV_ASSOC</t>
  </si>
  <si>
    <t>Provisions for Long-Term Investments</t>
  </si>
  <si>
    <t>ARD_PROVISION_FOR_LT_INVESTMENTS</t>
  </si>
  <si>
    <t>Impairment Of Goodwill-CF</t>
  </si>
  <si>
    <t>ARD_IMPRMNT_OF_GOODWILL_CF</t>
  </si>
  <si>
    <t>Interest Expense</t>
  </si>
  <si>
    <t>ARD_INTEREST_EXPENSE</t>
  </si>
  <si>
    <t>Interest Income - CF</t>
  </si>
  <si>
    <t>ARD_INTEREST_INCOME_CF</t>
  </si>
  <si>
    <t>Dividends Income</t>
  </si>
  <si>
    <t>ARD_DIV_INCOME</t>
  </si>
  <si>
    <t>Gain/Loss On Disposal Of Subsidiaries</t>
  </si>
  <si>
    <t>ARD_GAIN_LOSS_DISPOSAL_SUBSIDS</t>
  </si>
  <si>
    <t>Increase/Decrease In Trade &amp; Other Receivables</t>
  </si>
  <si>
    <t>ARD_INCR_DECR_IN_TRADE_OTHER_REC</t>
  </si>
  <si>
    <t>Profit Before Taxation And Minority Interest</t>
  </si>
  <si>
    <t>ARD_PROF_BEFORE_TAX_MINORITY_INT</t>
  </si>
  <si>
    <t>Write-Offs/Revaluation/Impair Of Fixed Assets</t>
  </si>
  <si>
    <t>ARD_WRITEOFFS_REVAL_IMPAIR_FIXED</t>
  </si>
  <si>
    <t>Revaluation/Impairment Of Investments</t>
  </si>
  <si>
    <t>ARD_REVAL_IMPAIR_OF_INVESTMENTS</t>
  </si>
  <si>
    <t>Tax Paid</t>
  </si>
  <si>
    <t>ARD_TAX_PAID</t>
  </si>
  <si>
    <t>Net Cash From Operating Activities</t>
  </si>
  <si>
    <t>ARD_NET_CASH_FROM_OPERATING_ACT</t>
  </si>
  <si>
    <t>Provision For Doubtful Debt Written Back</t>
  </si>
  <si>
    <t>ARD_PROV_DOUBTFUL_DEBT_WRITEBACK</t>
  </si>
  <si>
    <t>Finance Costs</t>
  </si>
  <si>
    <t>ARD_FINANCE_COSTS</t>
  </si>
  <si>
    <t>Lease Rent</t>
  </si>
  <si>
    <t>ARD_LEASE_RENT</t>
  </si>
  <si>
    <t>As Reported Data Change in Other Financial Assets</t>
  </si>
  <si>
    <t>ARD_CHG_IN_OTHER_FINANCIAL_AST</t>
  </si>
  <si>
    <t>Change in Other Financial Liabilities</t>
  </si>
  <si>
    <t>ARD_CHG_IN_OTHER_FINANCIAL_LIAB</t>
  </si>
  <si>
    <t>Depreciation</t>
  </si>
  <si>
    <t>ARD_DEPRECIATION_CF</t>
  </si>
  <si>
    <t>Change in Inventories</t>
  </si>
  <si>
    <t>ARD_CHANGE_IN_INVENTORIES</t>
  </si>
  <si>
    <t>Other Payment/Received</t>
  </si>
  <si>
    <t>ARD_OTHER_PAYMENT_RECEIVED</t>
  </si>
  <si>
    <t>Net Change In Working Capital</t>
  </si>
  <si>
    <t>ARD_NET_CHG_IN_WORKING_CAPITAL</t>
  </si>
  <si>
    <t xml:space="preserve">  Cash From Investing Activities</t>
  </si>
  <si>
    <t>Disposal of Fixed Assets</t>
  </si>
  <si>
    <t>ARD_DISPOSAL_OF_FIXED_ASSETS</t>
  </si>
  <si>
    <t>Capital Expenditures</t>
  </si>
  <si>
    <t>ARD_CAPITAL_EXPENDITURES</t>
  </si>
  <si>
    <t>Proceeds From Long-Term Investments</t>
  </si>
  <si>
    <t>ARD_PROCEEDS_FROM_LT_INVEST</t>
  </si>
  <si>
    <t>Sales (Purchases) of LT Investments -Net</t>
  </si>
  <si>
    <t>ARD_SALES_PURCH_LT_INVEST_NET</t>
  </si>
  <si>
    <t>Proceeds From Short-Term Investments</t>
  </si>
  <si>
    <t>ARD_PROCEEDS_FROM_ST_INVEST</t>
  </si>
  <si>
    <t>Proceeds From Investments</t>
  </si>
  <si>
    <t>ARD_PROCEEDS_FROM_INVESTMENTS</t>
  </si>
  <si>
    <t>Purchases of Investments</t>
  </si>
  <si>
    <t>ARD_PURCHASES_OF_INVESTMENTS</t>
  </si>
  <si>
    <t>Acquisition of Business</t>
  </si>
  <si>
    <t>ARD_ACQUISITION_OF_BUSINESS</t>
  </si>
  <si>
    <t>Other Investing Activities</t>
  </si>
  <si>
    <t>ARD_OTHER_INVESTING_ACTIVITIES</t>
  </si>
  <si>
    <t>Payment Of Acquisition Of Subsidiary</t>
  </si>
  <si>
    <t>ARD_PAYMENT_OF_ACQ_OF_SUBSIDIARY</t>
  </si>
  <si>
    <t>Interest Received From Investing Activities</t>
  </si>
  <si>
    <t>ARD_INT_REC_FROM_INVESTING_ACT</t>
  </si>
  <si>
    <t>Dividend Received From Investing Activities</t>
  </si>
  <si>
    <t>ARD_DIV_REC_INVESTING_ACTIVITIES</t>
  </si>
  <si>
    <t>Dvds Received (Non Joint Vent/Associate)</t>
  </si>
  <si>
    <t>ARDR_DIV_RECEIVED_NON_JV_ASSOC</t>
  </si>
  <si>
    <t>ARDR_INTEREST_INCOME_CF</t>
  </si>
  <si>
    <t>Proceeds From Sale Of Assocs/Joint Ventures</t>
  </si>
  <si>
    <t>ARD_PROC_FROM_SALE_OF_ASSOC_JV</t>
  </si>
  <si>
    <t>Total Cash Flows From Investing</t>
  </si>
  <si>
    <t>ARD_TOT_CASHFLOWS_FROM_INVESTING</t>
  </si>
  <si>
    <t xml:space="preserve">  Cash from Financing Activities</t>
  </si>
  <si>
    <t>Dividends Paid</t>
  </si>
  <si>
    <t>ARD_DIVIDEND_PD</t>
  </si>
  <si>
    <t>Increase In Short-Term Borrowings</t>
  </si>
  <si>
    <t>ARD_INCR_IN_ST_BORROW</t>
  </si>
  <si>
    <t>Decrease In St Borrowings</t>
  </si>
  <si>
    <t>ARD_DECR_IN_ST_BORROW</t>
  </si>
  <si>
    <t>Increase In Long-Term Borrowings</t>
  </si>
  <si>
    <t>ARD_INCR_IN_LT_BORROW</t>
  </si>
  <si>
    <t>Decrease In Long-Term Borrowings</t>
  </si>
  <si>
    <t>ARD_DECR_IN_LT_BORROW</t>
  </si>
  <si>
    <t>Increase (Decrease) Long-Term Borrowings - Net</t>
  </si>
  <si>
    <t>ARD_INCR_DECR_LT_BORROW_NET</t>
  </si>
  <si>
    <t>Issuance of Common Stock</t>
  </si>
  <si>
    <t>ARD_ISSUANCE_OF_COMMON_STOCK</t>
  </si>
  <si>
    <t>Effect of Exchange Rates On Cash</t>
  </si>
  <si>
    <t>ARD_EFF_OF_EXCH_RATES_ON_CASH</t>
  </si>
  <si>
    <t>Other Financing Activities</t>
  </si>
  <si>
    <t>ARD_OTHER_FINANCING_ACTIVITIES</t>
  </si>
  <si>
    <t>Cash Paid For Interest</t>
  </si>
  <si>
    <t>ARD_CASH_PAID_FOR_INTEREST</t>
  </si>
  <si>
    <t>Net Change In Cash</t>
  </si>
  <si>
    <t>ARD_NET_CHANGE_IN_CASH</t>
  </si>
  <si>
    <t>Cash and Cash Equivalents (End of Period)</t>
  </si>
  <si>
    <t>ARD_CASH_CASH_EQUIV_END_OF_PER</t>
  </si>
  <si>
    <t>Issuance of Preferred Stock</t>
  </si>
  <si>
    <t>ARD_ISSUANCE_OF_PREFERRED_STK</t>
  </si>
  <si>
    <t>Repurchase of Preferred Stock</t>
  </si>
  <si>
    <t>ARD_REPURCHASE_PREFERRED_STK</t>
  </si>
  <si>
    <t>Cash and Cash Equivalents (Beg of Period)</t>
  </si>
  <si>
    <t>ARD_CASH_CASH_EQUIV_BEG_OF_PER</t>
  </si>
  <si>
    <t>Subscription Received In Advance</t>
  </si>
  <si>
    <t>ARD_SUBSCRIPTION_RECEIVED_IN_ADV</t>
  </si>
  <si>
    <t>Dividend Tax Paid</t>
  </si>
  <si>
    <t>ARD_DIVIDEND_TAX_PAID</t>
  </si>
  <si>
    <t>Interest Paid From Financing Activities</t>
  </si>
  <si>
    <t>ARD_INT_PAID_FINANCING_ACTS</t>
  </si>
  <si>
    <t>Stock Issuance Costs</t>
  </si>
  <si>
    <t>ARD_STOCK_ISSUANCE_COSTS</t>
  </si>
  <si>
    <t>Total Cash Flows From Financing</t>
  </si>
  <si>
    <t>ARD_TOT_CASHFLOWS_FROM_FINANCING</t>
  </si>
  <si>
    <t>ARDR_CASH_CASH_EQUIV_END_OF_PER</t>
  </si>
  <si>
    <t>ARDR_CASH_CASH_EQUIV_BEG_OF_PER</t>
  </si>
  <si>
    <t>Datamatics Global Services Ltd (DATA IN) - Profitability</t>
  </si>
  <si>
    <t>Returns</t>
  </si>
  <si>
    <t>Return on Common Equity</t>
  </si>
  <si>
    <t>Return on Assets</t>
  </si>
  <si>
    <t>Return on Capital</t>
  </si>
  <si>
    <t>Return on Invested Capital</t>
  </si>
  <si>
    <t>Margins</t>
  </si>
  <si>
    <t>EBITDA Margin</t>
  </si>
  <si>
    <t>Incremental Operating Margin</t>
  </si>
  <si>
    <t>Pretax Margin</t>
  </si>
  <si>
    <t>Income before XO Margin</t>
  </si>
  <si>
    <t>Net Income Margin</t>
  </si>
  <si>
    <t>Net Income to Common Margin</t>
  </si>
  <si>
    <t>Additional</t>
  </si>
  <si>
    <t>Effective Tax Rate</t>
  </si>
  <si>
    <t>Dvd Payout Ratio</t>
  </si>
  <si>
    <t>Sustainable Growth Rate</t>
  </si>
  <si>
    <t>Datamatics Global Services Ltd (DATA IN) - Growth</t>
  </si>
  <si>
    <t>1 Year Growth</t>
  </si>
  <si>
    <t>SALES_GROWTH</t>
  </si>
  <si>
    <t>EBITDA_GROWTH</t>
  </si>
  <si>
    <t>Operating Income</t>
  </si>
  <si>
    <t>OPER_INC_GROWTH</t>
  </si>
  <si>
    <t>Net Income to Common</t>
  </si>
  <si>
    <t>EARN_FOR_COM_GROWTH</t>
  </si>
  <si>
    <t>EPS Diluted</t>
  </si>
  <si>
    <t>DILUTED_EPS_AFT_XO_ITEMS_GROWTH</t>
  </si>
  <si>
    <t>EPS Diluted before XO</t>
  </si>
  <si>
    <t>DILUTED_EPS_BEF_XO_ITEMS_GROWTH</t>
  </si>
  <si>
    <t>EPS Diluted before Abnormal</t>
  </si>
  <si>
    <t>RR_DIL_EPS_CONT_OPS_GROWTH</t>
  </si>
  <si>
    <t>Dividend per Share</t>
  </si>
  <si>
    <t>DIVIDEND_PER_SHARE_1_YEAR_GROWTH</t>
  </si>
  <si>
    <t>Accounts Receivable</t>
  </si>
  <si>
    <t>ACCOUNTS_RECEIVABLE_GROWTH</t>
  </si>
  <si>
    <t>Inventory</t>
  </si>
  <si>
    <t>INVENTORY_GROWTH</t>
  </si>
  <si>
    <t>Fixed Assets</t>
  </si>
  <si>
    <t>NET_FIXED_ASSETS_1_YEAR_GROWTH</t>
  </si>
  <si>
    <t>ASSET_GROWTH</t>
  </si>
  <si>
    <t>Modified Working Capital</t>
  </si>
  <si>
    <t>MODIFIED_WORK_CAP_GROWTH</t>
  </si>
  <si>
    <t>Working Capital</t>
  </si>
  <si>
    <t>WORK_CAP_GROWTH</t>
  </si>
  <si>
    <t>Employees</t>
  </si>
  <si>
    <t>EMPL_GROWTH</t>
  </si>
  <si>
    <t>Accounts Payable</t>
  </si>
  <si>
    <t>ACCOUNTS_PAYABLE_GROWTH_1YR</t>
  </si>
  <si>
    <t>Short-Term Debt</t>
  </si>
  <si>
    <t>SHORT_TERM_DEBT_1_YEAR_GROWTH</t>
  </si>
  <si>
    <t>Total Debt</t>
  </si>
  <si>
    <t>TOTAL_DEBT_1_YEAR_GROWTH</t>
  </si>
  <si>
    <t>TOTAL_EQUITY_1_YEAR_GROWTH</t>
  </si>
  <si>
    <t>Capital</t>
  </si>
  <si>
    <t>GROWTH_IN_CAP</t>
  </si>
  <si>
    <t>Book Value per Share</t>
  </si>
  <si>
    <t>BVPS_GROWTH</t>
  </si>
  <si>
    <t>Cash From Operations</t>
  </si>
  <si>
    <t>CASH_FLOW_GROWTH</t>
  </si>
  <si>
    <t>TOT_CAP_EXPEND_GROWTH</t>
  </si>
  <si>
    <t>NET_CHANGE_IN_CASH_1_YEAR_GROWTH</t>
  </si>
  <si>
    <t>Free Cash Flow</t>
  </si>
  <si>
    <t>FREE_CASH_FLOW_1_YEAR_GROWTH</t>
  </si>
  <si>
    <t>Cash Flow to Firm</t>
  </si>
  <si>
    <t>CASH_FLOW_TO_FIRM_1_YEAR_GROWTH</t>
  </si>
  <si>
    <t>Free Cash Flow to Firm</t>
  </si>
  <si>
    <t>FCF_TO_FIRM_1_YEAR_GROWTH</t>
  </si>
  <si>
    <t>5 Year Growth</t>
  </si>
  <si>
    <t>GEO_GROW_NET_SALES</t>
  </si>
  <si>
    <t>GEO_GROW_EBITDA</t>
  </si>
  <si>
    <t>GEO_GROW_OPER_INC</t>
  </si>
  <si>
    <t>NET_INCOME_TO_COMMON_5_YR_GROWTH</t>
  </si>
  <si>
    <t>5Y_GEO_GROWTH_DILUTED_EPS</t>
  </si>
  <si>
    <t>5Y_GEO_GROWTH_DILUTED_EPS_BEF_XO</t>
  </si>
  <si>
    <t>GEO_GROW_DILUTED_EPS_CONT_OPS</t>
  </si>
  <si>
    <t>GEO_GROW_DVD_PER_SH</t>
  </si>
  <si>
    <t>ACCOUNTS_RECEIVABLE_5_YR_GROWTH</t>
  </si>
  <si>
    <t>NET_FIXED_ASSETS_5_YEAR_GROWTH</t>
  </si>
  <si>
    <t>GEO_GROW_TOT_ASSET</t>
  </si>
  <si>
    <t>MODIFIED_WORKING_CPTL_5YR_GRWTH</t>
  </si>
  <si>
    <t>WORKING_CAPITAL_5_YEAR_GROWTH</t>
  </si>
  <si>
    <t>EMPLOYEES_5_YEAR_GROWTH</t>
  </si>
  <si>
    <t>ACCOUNTS_PAYABLE_5_YEAR_GROWTH</t>
  </si>
  <si>
    <t>SHORT_TERM_DEBT_5_YEAR_GROWTH</t>
  </si>
  <si>
    <t>TOTAL_DEBT_5_YEAR_GROWTH</t>
  </si>
  <si>
    <t>GEO_GROW_TOT_SHRHLDR_EQY</t>
  </si>
  <si>
    <t>Total Capital 5 Year Growth</t>
  </si>
  <si>
    <t>TOTAL_CAPITAL_5_YEAR_GROWTH</t>
  </si>
  <si>
    <t>GEO_GROW_BOOK_VAL</t>
  </si>
  <si>
    <t>GEO_GROW_CASH_OPER_ACT</t>
  </si>
  <si>
    <t>FREE_CASH_FLOW_5_YEAR_GROWTH</t>
  </si>
  <si>
    <t>CASH_FLOW_TO_FIRM_5_YEAR_GROWTH</t>
  </si>
  <si>
    <t>FCF_TO_FIRM_5_YEAR_GROWTH</t>
  </si>
  <si>
    <t>Sequential Growth</t>
  </si>
  <si>
    <t>REVENUE_SEQUENTIAL_GROWTH</t>
  </si>
  <si>
    <t>EBITDA_SEQUENTIAL_GROWTH</t>
  </si>
  <si>
    <t>OPERATING_INCOME_SEQ_GROWTH</t>
  </si>
  <si>
    <t>NET_INCOME_TO_COMMON_SEQ_GROWTH</t>
  </si>
  <si>
    <t>EPS_DILUTED_SEQUENTIAL_GROWTH</t>
  </si>
  <si>
    <t>EPS_DIL_BEF_EXTRAORD_SEQ_GRWTH</t>
  </si>
  <si>
    <t>EPS_DILUTED_BEF_ABNRML_SEQ_GRWTH</t>
  </si>
  <si>
    <t>DPS_SEQUENTIAL_GROWTH</t>
  </si>
  <si>
    <t>ACCOUNTS_RECEIVABLE_SEQ_GROWTH</t>
  </si>
  <si>
    <t>INVENTORY_SEQUENTIAL_GROWTH</t>
  </si>
  <si>
    <t>FIXED_ASSETS_SEQUENTIAL_GROWTH</t>
  </si>
  <si>
    <t>TOTAL_ASSETS_SEQUENTIAL_GROWTH</t>
  </si>
  <si>
    <t>MODIFIED_WORKING_CPTL_SEQ_GRWTH</t>
  </si>
  <si>
    <t>WORKING_CAPITAL_SEQ_GROWTH</t>
  </si>
  <si>
    <t>EMPLOYEES_SEQUENTIAL_GROWTH</t>
  </si>
  <si>
    <t>ACCOUNTS_PAYABLE_SEQ_GROWTH</t>
  </si>
  <si>
    <t>ST_DEBT_SEQUENTIAL_GROWTH</t>
  </si>
  <si>
    <t>TOTAL_DEBT_SEQUENTIAL_GROWTH</t>
  </si>
  <si>
    <t>TOTAL_EQUITY_SEQUENTIAL_GROWTH</t>
  </si>
  <si>
    <t>TOTAL_CAPITAL_SEQUENTIAL_GROWTH</t>
  </si>
  <si>
    <t>BPS_SEQUENTIAL_GROWTH</t>
  </si>
  <si>
    <t>CFO_SEQUENTIAL_GROWTH</t>
  </si>
  <si>
    <t>CAPEX_SEQUENTIAL_GROWTH</t>
  </si>
  <si>
    <t>NET_CHANGE_IN_CASH_SEQ_GROWTH</t>
  </si>
  <si>
    <t>FREE_CASH_FLOW_SEQUENTIAL_GROWTH</t>
  </si>
  <si>
    <t>CF_TO_FIRM_SEQUENTIAL_GROWTH</t>
  </si>
  <si>
    <t>FCF_TO_FIRM_SEQUENTIAL_GROWTH</t>
  </si>
  <si>
    <t>Datamatics Global Services Ltd (DATA IN) - Enterprise Value</t>
  </si>
  <si>
    <t>Market Capitalization</t>
  </si>
  <si>
    <t>HISTORICAL_MARKET_CAP</t>
  </si>
  <si>
    <t xml:space="preserve">  - Cash &amp; Equivalents</t>
  </si>
  <si>
    <t>CASH_AND_MARKETABLE_SECURITIES</t>
  </si>
  <si>
    <t xml:space="preserve">  + Preferred Equity</t>
  </si>
  <si>
    <t xml:space="preserve">  + Minority Interest</t>
  </si>
  <si>
    <t xml:space="preserve">  + Total Debt</t>
  </si>
  <si>
    <t>SHORT_AND_LONG_TERM_DEBT</t>
  </si>
  <si>
    <t>Total Capital</t>
  </si>
  <si>
    <t>BS_TOT_CAP</t>
  </si>
  <si>
    <t>Total Debt/Total Capital</t>
  </si>
  <si>
    <t>TOT_DEBT_TO_TOT_CAP</t>
  </si>
  <si>
    <t>Total Debt/EV</t>
  </si>
  <si>
    <t>TOTAL_DEBT_TO_EV</t>
  </si>
  <si>
    <t>EV/Cash Flow to Firm</t>
  </si>
  <si>
    <t>EV_TO_T12M_CASH_FLOW_FIRM</t>
  </si>
  <si>
    <t>EV/Free Cash Flow to Firm</t>
  </si>
  <si>
    <t>EV_TO_T12M_FREE_CASH_FLOW_FIRM</t>
  </si>
  <si>
    <t>Diluted Market Cap</t>
  </si>
  <si>
    <t>DILUTED_MKT_CAP</t>
  </si>
  <si>
    <t>Diluted Enterprise Value</t>
  </si>
  <si>
    <t>DILUTED_EV</t>
  </si>
  <si>
    <t>EV per Share</t>
  </si>
  <si>
    <t>EV_TO_SH_OUT</t>
  </si>
  <si>
    <t>Trailing 12 Month Values for Ratios</t>
  </si>
  <si>
    <t>IFRS 16/ASC 842 Adoption</t>
  </si>
  <si>
    <t>IFRS_16_ASC_842_ADOPTION_IND</t>
  </si>
  <si>
    <t>No</t>
  </si>
  <si>
    <t>Yes</t>
  </si>
  <si>
    <t>Sales</t>
  </si>
  <si>
    <t>TRAIL_12M_NET_SALES</t>
  </si>
  <si>
    <t>TRAIL_12M_EBITDA</t>
  </si>
  <si>
    <t>TRAIL_12M_OPER_INC</t>
  </si>
  <si>
    <t>Cash Flow To Firm</t>
  </si>
  <si>
    <t>TRAIL_12M_CASH_FLOW_FIRM</t>
  </si>
  <si>
    <t>Free Cash Flow To Firm</t>
  </si>
  <si>
    <t>TRAIL_12M_FREE_CASH_FLOW_FIRM</t>
  </si>
  <si>
    <t>Datamatics Global Services Ltd (DATA IN) - Stock Value</t>
  </si>
  <si>
    <t>Last Price</t>
  </si>
  <si>
    <t xml:space="preserve">  Period-over-Period % Change</t>
  </si>
  <si>
    <t>CHG_PCT_PERIOD</t>
  </si>
  <si>
    <t>Open Price</t>
  </si>
  <si>
    <t>PX_OPEN</t>
  </si>
  <si>
    <t>High Price</t>
  </si>
  <si>
    <t>Low Price</t>
  </si>
  <si>
    <t xml:space="preserve">  Current Shares Outstanding</t>
  </si>
  <si>
    <t>EQY_SH_OUT</t>
  </si>
  <si>
    <t xml:space="preserve">  Equity Float</t>
  </si>
  <si>
    <t>EQY_FLOAT</t>
  </si>
  <si>
    <t>Datamatics Global Services Ltd (DATA IN) - Earnings</t>
  </si>
  <si>
    <t>Consensus Estimate</t>
  </si>
  <si>
    <t>BEST_SALES</t>
  </si>
  <si>
    <t>Comparable Actual</t>
  </si>
  <si>
    <t>IS_COMP_SALES</t>
  </si>
  <si>
    <t xml:space="preserve">  Revenue Surprise %</t>
  </si>
  <si>
    <t xml:space="preserve">  GAAP Actual</t>
  </si>
  <si>
    <t xml:space="preserve">  Adjusted Actual</t>
  </si>
  <si>
    <t>Earnings Per Share</t>
  </si>
  <si>
    <t>BEST_EPS</t>
  </si>
  <si>
    <t>IS_COMP_EPS_ADJUSTED</t>
  </si>
  <si>
    <t xml:space="preserve">  EPS Surprise %</t>
  </si>
  <si>
    <t>BEST_OPP</t>
  </si>
  <si>
    <t>IS_COMPARABLE_EBIT</t>
  </si>
  <si>
    <t xml:space="preserve">  EBIT Surprise %</t>
  </si>
  <si>
    <t>BEST_EBITDA</t>
  </si>
  <si>
    <t>IS_COMPARABLE_EBITDA</t>
  </si>
  <si>
    <t xml:space="preserve">  EBITDA Surprise %</t>
  </si>
  <si>
    <t>Gross Margin %</t>
  </si>
  <si>
    <t>BEST_GROSS_MARGIN</t>
  </si>
  <si>
    <t>IS_COMP_GROSS_MARGIN_PERCENTAGE</t>
  </si>
  <si>
    <t>Pretax Income (Loss)</t>
  </si>
  <si>
    <t>BEST_PTP</t>
  </si>
  <si>
    <t>IS_COMP_PTP_EX_STK_BASED_COMP</t>
  </si>
  <si>
    <t xml:space="preserve">  Pretax Income (Loss) Surprise %</t>
  </si>
  <si>
    <t>Net Income</t>
  </si>
  <si>
    <t>BEST_NET_INCOME</t>
  </si>
  <si>
    <t>IS_COMP_NET_INCOME_ADJUST</t>
  </si>
  <si>
    <t xml:space="preserve">  Net Income Surprise %</t>
  </si>
  <si>
    <t>Datamatics Global Services Ltd (DATA IN) - EV Ex Operating Leases</t>
  </si>
  <si>
    <t>TOT_DEBT_EX_OPERATING_LEA_LIABS</t>
  </si>
  <si>
    <t>EV_EX_OPERATING_LEASE_LIABS</t>
  </si>
  <si>
    <t>TOT_CPTL_EX_OPERATING_LEA_LIABS</t>
  </si>
  <si>
    <t>TOT_DBT_TO_CPTL_EX_OP_LEA_LIABS</t>
  </si>
  <si>
    <t>TOT_DEBT_TO_EV_EX_OPER_LEA_LIABS</t>
  </si>
  <si>
    <t>EV_EX_OPER_LEA_LIABS_TO_SALES</t>
  </si>
  <si>
    <t>EV_TO_EBITDA_EX_OPERATING_LEASE</t>
  </si>
  <si>
    <t>EV_TO_EBIT_EX_OPERATING_LEASE</t>
  </si>
  <si>
    <t>EV_EX_OP_LEA_LIABS_TO_CF_TO_FIRM</t>
  </si>
  <si>
    <t>EV_EX_OP_LEA_LIAB_TO_FCF_TO_FIRM</t>
  </si>
  <si>
    <t>DILUTED_EV_EX_OPERATING_LEASE</t>
  </si>
  <si>
    <t>EV_EX_OP_LEA_LIAB_TO_SHS_OUTSTDG</t>
  </si>
  <si>
    <t>T12M_EBITDA_AFTER_OPER_LEA_EXPN</t>
  </si>
  <si>
    <t>T12_EBIT_AFT_OPER_LEASE_EXPN</t>
  </si>
  <si>
    <t>T12_CF_TO_FIRM_AFT_OP_LEA_PYMTS</t>
  </si>
  <si>
    <t>T12_FCF_TO_FIRM_AFT_OP_LEA_PYMTS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</si>
</sst>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1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64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164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164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64" fontId="8" fillId="35" borderId="2">
      <alignment horizontal="right"/>
    </xf>
    <xf numFmtId="4" fontId="8" fillId="35" borderId="2">
      <alignment horizontal="right"/>
    </xf>
    <xf numFmtId="3" fontId="11" fillId="34" borderId="2">
      <alignment horizontal="right"/>
    </xf>
    <xf numFmtId="164" fontId="11" fillId="34" borderId="2">
      <alignment horizontal="right"/>
    </xf>
    <xf numFmtId="4" fontId="11" fillId="34" borderId="2">
      <alignment horizontal="right"/>
    </xf>
    <xf numFmtId="3" fontId="11" fillId="35" borderId="2">
      <alignment horizontal="right"/>
    </xf>
    <xf numFmtId="164" fontId="11" fillId="35" borderId="2">
      <alignment horizontal="right"/>
    </xf>
    <xf numFmtId="4" fontId="11" fillId="35" borderId="2">
      <alignment horizontal="right"/>
    </xf>
  </cellStyleXfs>
  <cellXfs count="30">
    <xf numFmtId="0" fontId="0" fillId="0" borderId="0" xfId="0"/>
    <xf numFmtId="0" fontId="2" fillId="33" borderId="0" xfId="26"/>
    <xf numFmtId="0" fontId="6" fillId="34" borderId="0" xfId="31">
      <alignment horizontal="center"/>
    </xf>
    <xf numFmtId="0" fontId="7" fillId="33" borderId="3" xfId="33">
      <alignment horizontal="left"/>
    </xf>
    <xf numFmtId="0" fontId="7" fillId="33" borderId="3" xfId="32">
      <alignment horizontal="right"/>
    </xf>
    <xf numFmtId="0" fontId="7" fillId="33" borderId="1" xfId="30">
      <alignment horizontal="right"/>
    </xf>
    <xf numFmtId="0" fontId="8" fillId="34" borderId="5" xfId="35"/>
    <xf numFmtId="0" fontId="11" fillId="36" borderId="4" xfId="34"/>
    <xf numFmtId="0" fontId="5" fillId="33" borderId="15" xfId="51">
      <alignment horizontal="left" vertical="center" readingOrder="1"/>
    </xf>
    <xf numFmtId="0" fontId="7" fillId="33" borderId="1" xfId="52">
      <alignment horizontal="left"/>
    </xf>
    <xf numFmtId="0" fontId="3" fillId="34" borderId="5" xfId="37" applyFont="1"/>
    <xf numFmtId="0" fontId="4" fillId="34" borderId="5" xfId="36" applyFont="1"/>
    <xf numFmtId="3" fontId="1" fillId="34" borderId="2" xfId="53">
      <alignment horizontal="right"/>
    </xf>
    <xf numFmtId="164" fontId="1" fillId="34" borderId="2" xfId="54">
      <alignment horizontal="right"/>
    </xf>
    <xf numFmtId="4" fontId="1" fillId="34" borderId="2" xfId="55">
      <alignment horizontal="right"/>
    </xf>
    <xf numFmtId="3" fontId="1" fillId="35" borderId="2" xfId="56">
      <alignment horizontal="right"/>
    </xf>
    <xf numFmtId="164" fontId="1" fillId="35" borderId="2" xfId="57">
      <alignment horizontal="right"/>
    </xf>
    <xf numFmtId="4" fontId="1" fillId="35" borderId="2" xfId="58">
      <alignment horizontal="right"/>
    </xf>
    <xf numFmtId="3" fontId="8" fillId="34" borderId="2" xfId="59">
      <alignment horizontal="right"/>
    </xf>
    <xf numFmtId="164" fontId="8" fillId="34" borderId="2" xfId="60">
      <alignment horizontal="right"/>
    </xf>
    <xf numFmtId="4" fontId="8" fillId="34" borderId="2" xfId="61">
      <alignment horizontal="right"/>
    </xf>
    <xf numFmtId="3" fontId="8" fillId="35" borderId="2" xfId="62">
      <alignment horizontal="right"/>
    </xf>
    <xf numFmtId="164" fontId="8" fillId="35" borderId="2" xfId="63">
      <alignment horizontal="right"/>
    </xf>
    <xf numFmtId="4" fontId="8" fillId="35" borderId="2" xfId="64">
      <alignment horizontal="right"/>
    </xf>
    <xf numFmtId="3" fontId="11" fillId="34" borderId="2" xfId="65">
      <alignment horizontal="right"/>
    </xf>
    <xf numFmtId="164" fontId="11" fillId="34" borderId="2" xfId="66">
      <alignment horizontal="right"/>
    </xf>
    <xf numFmtId="4" fontId="11" fillId="34" borderId="2" xfId="67">
      <alignment horizontal="right"/>
    </xf>
    <xf numFmtId="3" fontId="11" fillId="35" borderId="2" xfId="68">
      <alignment horizontal="right"/>
    </xf>
    <xf numFmtId="164" fontId="11" fillId="35" borderId="2" xfId="69">
      <alignment horizontal="right"/>
    </xf>
    <xf numFmtId="4" fontId="11" fillId="35" borderId="2" xfId="70">
      <alignment horizontal="right"/>
    </xf>
  </cellXfs>
  <cellStyles count="7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9" xr:uid="{00000000-0005-0000-0000-000023000000}"/>
    <cellStyle name="fa_data_bold_1_grouped" xfId="60" xr:uid="{00000000-0005-0000-0000-000024000000}"/>
    <cellStyle name="fa_data_bold_2_grouped" xfId="61" xr:uid="{00000000-0005-0000-0000-000025000000}"/>
    <cellStyle name="fa_data_current_bold_0_grouped" xfId="62" xr:uid="{00000000-0005-0000-0000-000026000000}"/>
    <cellStyle name="fa_data_current_bold_1_grouped" xfId="63" xr:uid="{00000000-0005-0000-0000-000027000000}"/>
    <cellStyle name="fa_data_current_bold_2_grouped" xfId="64" xr:uid="{00000000-0005-0000-0000-000028000000}"/>
    <cellStyle name="fa_data_current_italic_0_grouped" xfId="68" xr:uid="{00000000-0005-0000-0000-000029000000}"/>
    <cellStyle name="fa_data_current_italic_1_grouped" xfId="69" xr:uid="{00000000-0005-0000-0000-00002A000000}"/>
    <cellStyle name="fa_data_current_italic_2_grouped" xfId="70" xr:uid="{00000000-0005-0000-0000-00002B000000}"/>
    <cellStyle name="fa_data_current_standard_0_grouped" xfId="56" xr:uid="{00000000-0005-0000-0000-00002C000000}"/>
    <cellStyle name="fa_data_current_standard_1_grouped" xfId="57" xr:uid="{00000000-0005-0000-0000-00002D000000}"/>
    <cellStyle name="fa_data_current_standard_2_grouped" xfId="58" xr:uid="{00000000-0005-0000-0000-00002E000000}"/>
    <cellStyle name="fa_data_italic_0_grouped" xfId="65" xr:uid="{00000000-0005-0000-0000-00002F000000}"/>
    <cellStyle name="fa_data_italic_1_grouped" xfId="66" xr:uid="{00000000-0005-0000-0000-000030000000}"/>
    <cellStyle name="fa_data_italic_2_grouped" xfId="67" xr:uid="{00000000-0005-0000-0000-000031000000}"/>
    <cellStyle name="fa_data_standard_0_grouped" xfId="53" xr:uid="{00000000-0005-0000-0000-000032000000}"/>
    <cellStyle name="fa_data_standard_1_grouped" xfId="54" xr:uid="{00000000-0005-0000-0000-000033000000}"/>
    <cellStyle name="fa_data_standard_2_grouped" xfId="55" xr:uid="{00000000-0005-0000-0000-000034000000}"/>
    <cellStyle name="fa_footer_italic" xfId="34" xr:uid="{00000000-0005-0000-0000-000035000000}"/>
    <cellStyle name="fa_row_header_bold" xfId="35" xr:uid="{00000000-0005-0000-0000-000036000000}"/>
    <cellStyle name="fa_row_header_italic" xfId="36" xr:uid="{00000000-0005-0000-0000-000037000000}"/>
    <cellStyle name="fa_row_header_standard" xfId="37" xr:uid="{00000000-0005-0000-0000-000038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9"/>
  <sheetViews>
    <sheetView workbookViewId="0">
      <selection activeCell="A2" sqref="A2:Z59"/>
    </sheetView>
  </sheetViews>
  <sheetFormatPr baseColWidth="10" defaultColWidth="8.83203125" defaultRowHeight="15" x14ac:dyDescent="0.2"/>
  <cols>
    <col min="1" max="1" width="35.1640625" customWidth="1"/>
    <col min="2" max="2" width="0" hidden="1" customWidth="1"/>
    <col min="3" max="26" width="11.83203125" customWidth="1"/>
  </cols>
  <sheetData>
    <row r="1" spans="1:2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" x14ac:dyDescent="0.2">
      <c r="A2" s="8" t="s">
        <v>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3" t="s">
        <v>6</v>
      </c>
      <c r="B4" s="3"/>
      <c r="C4" s="4" t="s">
        <v>4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</row>
    <row r="5" spans="1:26" x14ac:dyDescent="0.2">
      <c r="A5" s="9" t="s">
        <v>30</v>
      </c>
      <c r="B5" s="9"/>
      <c r="C5" s="5" t="s">
        <v>31</v>
      </c>
      <c r="D5" s="5" t="s">
        <v>32</v>
      </c>
      <c r="E5" s="5" t="s">
        <v>33</v>
      </c>
      <c r="F5" s="5" t="s">
        <v>34</v>
      </c>
      <c r="G5" s="5" t="s">
        <v>35</v>
      </c>
      <c r="H5" s="5" t="s">
        <v>36</v>
      </c>
      <c r="I5" s="5" t="s">
        <v>37</v>
      </c>
      <c r="J5" s="5" t="s">
        <v>38</v>
      </c>
      <c r="K5" s="5" t="s">
        <v>39</v>
      </c>
      <c r="L5" s="5" t="s">
        <v>40</v>
      </c>
      <c r="M5" s="5" t="s">
        <v>41</v>
      </c>
      <c r="N5" s="5" t="s">
        <v>42</v>
      </c>
      <c r="O5" s="5" t="s">
        <v>43</v>
      </c>
      <c r="P5" s="5" t="s">
        <v>44</v>
      </c>
      <c r="Q5" s="5" t="s">
        <v>45</v>
      </c>
      <c r="R5" s="5" t="s">
        <v>46</v>
      </c>
      <c r="S5" s="5" t="s">
        <v>47</v>
      </c>
      <c r="T5" s="5" t="s">
        <v>48</v>
      </c>
      <c r="U5" s="5" t="s">
        <v>49</v>
      </c>
      <c r="V5" s="5" t="s">
        <v>50</v>
      </c>
      <c r="W5" s="5" t="s">
        <v>51</v>
      </c>
      <c r="X5" s="5" t="s">
        <v>52</v>
      </c>
      <c r="Y5" s="5" t="s">
        <v>53</v>
      </c>
      <c r="Z5" s="5" t="s">
        <v>54</v>
      </c>
    </row>
    <row r="6" spans="1:26" x14ac:dyDescent="0.2">
      <c r="A6" s="6" t="s">
        <v>55</v>
      </c>
      <c r="B6" s="6" t="s">
        <v>56</v>
      </c>
      <c r="C6" s="20">
        <v>16.160900000000002</v>
      </c>
      <c r="D6" s="20">
        <v>12.496700000000001</v>
      </c>
      <c r="E6" s="20">
        <v>16.2727</v>
      </c>
      <c r="F6" s="20">
        <v>12.4665</v>
      </c>
      <c r="G6" s="20">
        <v>3.3771</v>
      </c>
      <c r="H6" s="20">
        <v>8.2311999999999994</v>
      </c>
      <c r="I6" s="20">
        <v>8.3994</v>
      </c>
      <c r="J6" s="20">
        <v>6.0265000000000004</v>
      </c>
      <c r="K6" s="20">
        <v>5.7911999999999999</v>
      </c>
      <c r="L6" s="20">
        <v>5.9805999999999999</v>
      </c>
      <c r="M6" s="20">
        <v>9.1472999999999995</v>
      </c>
      <c r="N6" s="20">
        <v>7.9340000000000002</v>
      </c>
      <c r="O6" s="20">
        <v>8.2865000000000002</v>
      </c>
      <c r="P6" s="20">
        <v>9.3973999999999993</v>
      </c>
      <c r="Q6" s="20">
        <v>8.1486999999999998</v>
      </c>
      <c r="R6" s="20">
        <v>3.7974000000000001</v>
      </c>
      <c r="S6" s="20">
        <v>8.5254999999999992</v>
      </c>
      <c r="T6" s="20">
        <v>11.216799999999999</v>
      </c>
      <c r="U6" s="20">
        <v>8.8673999999999999</v>
      </c>
      <c r="V6" s="20">
        <v>15.857100000000001</v>
      </c>
      <c r="W6" s="20">
        <v>18.4846</v>
      </c>
      <c r="X6" s="23">
        <v>21.938922500720299</v>
      </c>
      <c r="Y6" s="20">
        <v>18.045023696682499</v>
      </c>
      <c r="Z6" s="20">
        <v>15.798755186722</v>
      </c>
    </row>
    <row r="7" spans="1:26" x14ac:dyDescent="0.2">
      <c r="A7" s="10" t="s">
        <v>57</v>
      </c>
      <c r="B7" s="10" t="s">
        <v>58</v>
      </c>
      <c r="C7" s="14">
        <v>14.6221</v>
      </c>
      <c r="D7" s="14">
        <v>15.7966</v>
      </c>
      <c r="E7" s="14">
        <v>11.1854</v>
      </c>
      <c r="F7" s="14">
        <v>14.0318</v>
      </c>
      <c r="G7" s="14">
        <v>10.097300000000001</v>
      </c>
      <c r="H7" s="14">
        <v>7.3502000000000001</v>
      </c>
      <c r="I7" s="14">
        <v>8.6806999999999999</v>
      </c>
      <c r="J7" s="14">
        <v>7.9242999999999997</v>
      </c>
      <c r="K7" s="14">
        <v>6.6966000000000001</v>
      </c>
      <c r="L7" s="14">
        <v>7.1516999999999999</v>
      </c>
      <c r="M7" s="14">
        <v>8.3646999999999991</v>
      </c>
      <c r="N7" s="14">
        <v>7.8978000000000002</v>
      </c>
      <c r="O7" s="14">
        <v>13.096500000000001</v>
      </c>
      <c r="P7" s="14">
        <v>7.6077000000000004</v>
      </c>
      <c r="Q7" s="14">
        <v>10.154999999999999</v>
      </c>
      <c r="R7" s="14">
        <v>6.2127999999999997</v>
      </c>
      <c r="S7" s="14">
        <v>7.1089000000000002</v>
      </c>
      <c r="T7" s="14">
        <v>18.999099999999999</v>
      </c>
      <c r="U7" s="14">
        <v>11.313499999999999</v>
      </c>
      <c r="V7" s="14">
        <v>17.938800000000001</v>
      </c>
      <c r="W7" s="14">
        <v>18.0943</v>
      </c>
      <c r="X7" s="17"/>
      <c r="Y7" s="14"/>
      <c r="Z7" s="14"/>
    </row>
    <row r="8" spans="1:26" x14ac:dyDescent="0.2">
      <c r="A8" s="10" t="s">
        <v>59</v>
      </c>
      <c r="B8" s="10" t="s">
        <v>60</v>
      </c>
      <c r="C8" s="14">
        <v>18.5153</v>
      </c>
      <c r="D8" s="14">
        <v>20.342500000000001</v>
      </c>
      <c r="E8" s="14">
        <v>16.446200000000001</v>
      </c>
      <c r="F8" s="14">
        <v>19.430800000000001</v>
      </c>
      <c r="G8" s="14">
        <v>16.2972</v>
      </c>
      <c r="H8" s="14">
        <v>10.9871</v>
      </c>
      <c r="I8" s="14">
        <v>10.0101</v>
      </c>
      <c r="J8" s="14">
        <v>8.9093</v>
      </c>
      <c r="K8" s="14">
        <v>7.7925000000000004</v>
      </c>
      <c r="L8" s="14">
        <v>12.802199999999999</v>
      </c>
      <c r="M8" s="14">
        <v>11.253</v>
      </c>
      <c r="N8" s="14">
        <v>10.2865</v>
      </c>
      <c r="O8" s="14">
        <v>23.190100000000001</v>
      </c>
      <c r="P8" s="14">
        <v>9.5782000000000007</v>
      </c>
      <c r="Q8" s="14">
        <v>13.4269</v>
      </c>
      <c r="R8" s="14">
        <v>8.7896000000000001</v>
      </c>
      <c r="S8" s="14">
        <v>11.739100000000001</v>
      </c>
      <c r="T8" s="14">
        <v>27.3245</v>
      </c>
      <c r="U8" s="14">
        <v>13.298400000000001</v>
      </c>
      <c r="V8" s="14">
        <v>24.0624</v>
      </c>
      <c r="W8" s="14">
        <v>21.046099999999999</v>
      </c>
      <c r="X8" s="17"/>
      <c r="Y8" s="14"/>
      <c r="Z8" s="14"/>
    </row>
    <row r="9" spans="1:26" x14ac:dyDescent="0.2">
      <c r="A9" s="10" t="s">
        <v>61</v>
      </c>
      <c r="B9" s="10" t="s">
        <v>62</v>
      </c>
      <c r="C9" s="14">
        <v>9.9847000000000001</v>
      </c>
      <c r="D9" s="14">
        <v>10.2835</v>
      </c>
      <c r="E9" s="14">
        <v>7.8006000000000002</v>
      </c>
      <c r="F9" s="14">
        <v>7.5296000000000003</v>
      </c>
      <c r="G9" s="14">
        <v>3.3771</v>
      </c>
      <c r="H9" s="14">
        <v>3.6084000000000001</v>
      </c>
      <c r="I9" s="14">
        <v>7.1026999999999996</v>
      </c>
      <c r="J9" s="14">
        <v>6.0265000000000004</v>
      </c>
      <c r="K9" s="14">
        <v>5.7394999999999996</v>
      </c>
      <c r="L9" s="14">
        <v>3.8900999999999999</v>
      </c>
      <c r="M9" s="14">
        <v>5.6718999999999999</v>
      </c>
      <c r="N9" s="14">
        <v>5.8322000000000003</v>
      </c>
      <c r="O9" s="14">
        <v>7.4989999999999997</v>
      </c>
      <c r="P9" s="14">
        <v>6.2000999999999999</v>
      </c>
      <c r="Q9" s="14">
        <v>7.5850999999999997</v>
      </c>
      <c r="R9" s="14">
        <v>2.3456999999999999</v>
      </c>
      <c r="S9" s="14">
        <v>3.6448</v>
      </c>
      <c r="T9" s="14">
        <v>8.1152999999999995</v>
      </c>
      <c r="U9" s="14">
        <v>8.8673999999999999</v>
      </c>
      <c r="V9" s="14">
        <v>9.0234000000000005</v>
      </c>
      <c r="W9" s="14">
        <v>14.385400000000001</v>
      </c>
      <c r="X9" s="17"/>
      <c r="Y9" s="14"/>
      <c r="Z9" s="14"/>
    </row>
    <row r="10" spans="1:26" x14ac:dyDescent="0.2">
      <c r="A10" s="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21"/>
      <c r="Y10" s="18"/>
      <c r="Z10" s="18"/>
    </row>
    <row r="11" spans="1:26" x14ac:dyDescent="0.2">
      <c r="A11" s="6" t="s">
        <v>63</v>
      </c>
      <c r="B11" s="6" t="s">
        <v>64</v>
      </c>
      <c r="C11" s="20">
        <v>2.3759999999999999</v>
      </c>
      <c r="D11" s="20">
        <v>1.4739</v>
      </c>
      <c r="E11" s="20">
        <v>1.1694</v>
      </c>
      <c r="F11" s="20">
        <v>0.61160000000000003</v>
      </c>
      <c r="G11" s="20">
        <v>0.37909999999999999</v>
      </c>
      <c r="H11" s="20">
        <v>0.76559999999999995</v>
      </c>
      <c r="I11" s="20">
        <v>0.69789999999999996</v>
      </c>
      <c r="J11" s="20">
        <v>0.59289999999999998</v>
      </c>
      <c r="K11" s="20">
        <v>0.52149999999999996</v>
      </c>
      <c r="L11" s="20">
        <v>0.86619999999999997</v>
      </c>
      <c r="M11" s="20">
        <v>1.0357000000000001</v>
      </c>
      <c r="N11" s="20">
        <v>0.75519999999999998</v>
      </c>
      <c r="O11" s="20">
        <v>1.4075</v>
      </c>
      <c r="P11" s="20">
        <v>1.1021000000000001</v>
      </c>
      <c r="Q11" s="20">
        <v>0.94879999999999998</v>
      </c>
      <c r="R11" s="20">
        <v>0.3528</v>
      </c>
      <c r="S11" s="20">
        <v>0.94979999999999998</v>
      </c>
      <c r="T11" s="20">
        <v>2.0608</v>
      </c>
      <c r="U11" s="20">
        <v>1.5987</v>
      </c>
      <c r="V11" s="20">
        <v>2.5579999999999998</v>
      </c>
      <c r="W11" s="20">
        <v>2.7791000000000001</v>
      </c>
      <c r="X11" s="23">
        <v>3.2983911082083299</v>
      </c>
      <c r="Y11" s="20"/>
      <c r="Z11" s="20"/>
    </row>
    <row r="12" spans="1:26" x14ac:dyDescent="0.2">
      <c r="A12" s="10" t="s">
        <v>57</v>
      </c>
      <c r="B12" s="10" t="s">
        <v>65</v>
      </c>
      <c r="C12" s="14">
        <v>6.4189999999999996</v>
      </c>
      <c r="D12" s="14">
        <v>2.3210000000000002</v>
      </c>
      <c r="E12" s="14">
        <v>1.3162</v>
      </c>
      <c r="F12" s="14">
        <v>1.0073000000000001</v>
      </c>
      <c r="G12" s="14">
        <v>0.49619999999999997</v>
      </c>
      <c r="H12" s="14">
        <v>0.82440000000000002</v>
      </c>
      <c r="I12" s="14">
        <v>0.80700000000000005</v>
      </c>
      <c r="J12" s="14">
        <v>0.65880000000000005</v>
      </c>
      <c r="K12" s="14">
        <v>0.65869999999999995</v>
      </c>
      <c r="L12" s="14">
        <v>0.64529999999999998</v>
      </c>
      <c r="M12" s="14">
        <v>1.2102999999999999</v>
      </c>
      <c r="N12" s="14">
        <v>0.89370000000000005</v>
      </c>
      <c r="O12" s="14">
        <v>1.2490000000000001</v>
      </c>
      <c r="P12" s="14">
        <v>1.2902</v>
      </c>
      <c r="Q12" s="14">
        <v>1.1909000000000001</v>
      </c>
      <c r="R12" s="14">
        <v>0.72299999999999998</v>
      </c>
      <c r="S12" s="14">
        <v>0.66110000000000002</v>
      </c>
      <c r="T12" s="14">
        <v>2.1198000000000001</v>
      </c>
      <c r="U12" s="14">
        <v>2.0783999999999998</v>
      </c>
      <c r="V12" s="14">
        <v>3.2330000000000001</v>
      </c>
      <c r="W12" s="14">
        <v>2.9180999999999999</v>
      </c>
      <c r="X12" s="17"/>
      <c r="Y12" s="14"/>
      <c r="Z12" s="14"/>
    </row>
    <row r="13" spans="1:26" x14ac:dyDescent="0.2">
      <c r="A13" s="10" t="s">
        <v>59</v>
      </c>
      <c r="B13" s="10" t="s">
        <v>66</v>
      </c>
      <c r="C13" s="14">
        <v>8.1542999999999992</v>
      </c>
      <c r="D13" s="14">
        <v>2.9908000000000001</v>
      </c>
      <c r="E13" s="14">
        <v>1.9397</v>
      </c>
      <c r="F13" s="14">
        <v>1.3964000000000001</v>
      </c>
      <c r="G13" s="14">
        <v>0.79949999999999999</v>
      </c>
      <c r="H13" s="14">
        <v>1.2333000000000001</v>
      </c>
      <c r="I13" s="14">
        <v>0.93100000000000005</v>
      </c>
      <c r="J13" s="14">
        <v>0.74029999999999996</v>
      </c>
      <c r="K13" s="14">
        <v>0.76670000000000005</v>
      </c>
      <c r="L13" s="14">
        <v>1.1528</v>
      </c>
      <c r="M13" s="14">
        <v>1.6297999999999999</v>
      </c>
      <c r="N13" s="14">
        <v>1.1647000000000001</v>
      </c>
      <c r="O13" s="14">
        <v>2.2071999999999998</v>
      </c>
      <c r="P13" s="14">
        <v>1.6269</v>
      </c>
      <c r="Q13" s="14">
        <v>1.5747</v>
      </c>
      <c r="R13" s="14">
        <v>1.0234000000000001</v>
      </c>
      <c r="S13" s="14">
        <v>1.0906</v>
      </c>
      <c r="T13" s="14">
        <v>3.0440999999999998</v>
      </c>
      <c r="U13" s="14">
        <v>2.4432</v>
      </c>
      <c r="V13" s="14">
        <v>4.3381999999999996</v>
      </c>
      <c r="W13" s="14">
        <v>3.395</v>
      </c>
      <c r="X13" s="17"/>
      <c r="Y13" s="14"/>
      <c r="Z13" s="14"/>
    </row>
    <row r="14" spans="1:26" x14ac:dyDescent="0.2">
      <c r="A14" s="10" t="s">
        <v>61</v>
      </c>
      <c r="B14" s="10" t="s">
        <v>67</v>
      </c>
      <c r="C14" s="14">
        <v>2.3759999999999999</v>
      </c>
      <c r="D14" s="14">
        <v>1.4739</v>
      </c>
      <c r="E14" s="14">
        <v>0.92</v>
      </c>
      <c r="F14" s="14">
        <v>0.54110000000000003</v>
      </c>
      <c r="G14" s="14">
        <v>0.2737</v>
      </c>
      <c r="H14" s="14">
        <v>0.40500000000000003</v>
      </c>
      <c r="I14" s="14">
        <v>0.66059999999999997</v>
      </c>
      <c r="J14" s="14">
        <v>0.55320000000000003</v>
      </c>
      <c r="K14" s="14">
        <v>0.52149999999999996</v>
      </c>
      <c r="L14" s="14">
        <v>0.3503</v>
      </c>
      <c r="M14" s="14">
        <v>0.82150000000000001</v>
      </c>
      <c r="N14" s="14">
        <v>0.66039999999999999</v>
      </c>
      <c r="O14" s="14">
        <v>0.71379999999999999</v>
      </c>
      <c r="P14" s="14">
        <v>1.0530999999999999</v>
      </c>
      <c r="Q14" s="14">
        <v>0.88959999999999995</v>
      </c>
      <c r="R14" s="14">
        <v>0.27310000000000001</v>
      </c>
      <c r="S14" s="14">
        <v>0.33860000000000001</v>
      </c>
      <c r="T14" s="14">
        <v>0.90410000000000001</v>
      </c>
      <c r="U14" s="14">
        <v>1.5987</v>
      </c>
      <c r="V14" s="14">
        <v>1.6268</v>
      </c>
      <c r="W14" s="14">
        <v>2.3206000000000002</v>
      </c>
      <c r="X14" s="17"/>
      <c r="Y14" s="14"/>
      <c r="Z14" s="14"/>
    </row>
    <row r="15" spans="1:26" x14ac:dyDescent="0.2">
      <c r="A15" s="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21"/>
      <c r="Y15" s="18"/>
      <c r="Z15" s="18"/>
    </row>
    <row r="16" spans="1:26" x14ac:dyDescent="0.2">
      <c r="A16" s="6" t="s">
        <v>68</v>
      </c>
      <c r="B16" s="6" t="s">
        <v>69</v>
      </c>
      <c r="C16" s="20">
        <v>2.3759999999999999</v>
      </c>
      <c r="D16" s="20">
        <v>1.5708</v>
      </c>
      <c r="E16" s="20">
        <v>1.2511000000000001</v>
      </c>
      <c r="F16" s="20">
        <v>0.61160000000000003</v>
      </c>
      <c r="G16" s="20">
        <v>0.37909999999999999</v>
      </c>
      <c r="H16" s="20" t="s">
        <v>658</v>
      </c>
      <c r="I16" s="20">
        <v>0.71530000000000005</v>
      </c>
      <c r="J16" s="20">
        <v>0.72430000000000005</v>
      </c>
      <c r="K16" s="20">
        <v>0.63280000000000003</v>
      </c>
      <c r="L16" s="20">
        <v>1.3871</v>
      </c>
      <c r="M16" s="20">
        <v>1.5457000000000001</v>
      </c>
      <c r="N16" s="20">
        <v>1.1328</v>
      </c>
      <c r="O16" s="20">
        <v>2.0385</v>
      </c>
      <c r="P16" s="20">
        <v>1.7334000000000001</v>
      </c>
      <c r="Q16" s="20">
        <v>1.4979</v>
      </c>
      <c r="R16" s="20">
        <v>0.51029999999999998</v>
      </c>
      <c r="S16" s="20">
        <v>1.0703</v>
      </c>
      <c r="T16" s="20">
        <v>2.2764000000000002</v>
      </c>
      <c r="U16" s="20">
        <v>1.738</v>
      </c>
      <c r="V16" s="20">
        <v>2.7909999999999999</v>
      </c>
      <c r="W16" s="20">
        <v>5.6327999999999996</v>
      </c>
      <c r="X16" s="23">
        <v>6.6854088709246202</v>
      </c>
      <c r="Y16" s="20"/>
      <c r="Z16" s="20"/>
    </row>
    <row r="17" spans="1:26" x14ac:dyDescent="0.2">
      <c r="A17" s="10" t="s">
        <v>57</v>
      </c>
      <c r="B17" s="10" t="s">
        <v>70</v>
      </c>
      <c r="C17" s="14">
        <v>6.6157000000000004</v>
      </c>
      <c r="D17" s="14">
        <v>2.3214000000000001</v>
      </c>
      <c r="E17" s="14">
        <v>1.4027000000000001</v>
      </c>
      <c r="F17" s="14">
        <v>1.0774999999999999</v>
      </c>
      <c r="G17" s="14">
        <v>0.49619999999999997</v>
      </c>
      <c r="H17" s="14">
        <v>0.8246</v>
      </c>
      <c r="I17" s="14">
        <v>0.71530000000000005</v>
      </c>
      <c r="J17" s="14">
        <v>0.67569999999999997</v>
      </c>
      <c r="K17" s="14">
        <v>0.80459999999999998</v>
      </c>
      <c r="L17" s="14">
        <v>0.7843</v>
      </c>
      <c r="M17" s="14">
        <v>1.9377</v>
      </c>
      <c r="N17" s="14">
        <v>1.3338000000000001</v>
      </c>
      <c r="O17" s="14">
        <v>1.8733</v>
      </c>
      <c r="P17" s="14">
        <v>1.8692</v>
      </c>
      <c r="Q17" s="14">
        <v>1.8731</v>
      </c>
      <c r="R17" s="14">
        <v>1.1413</v>
      </c>
      <c r="S17" s="14">
        <v>0.95499999999999996</v>
      </c>
      <c r="T17" s="14">
        <v>2.3885999999999998</v>
      </c>
      <c r="U17" s="14">
        <v>2.2957000000000001</v>
      </c>
      <c r="V17" s="14">
        <v>3.5146000000000002</v>
      </c>
      <c r="W17" s="14">
        <v>3.1943000000000001</v>
      </c>
      <c r="X17" s="17"/>
      <c r="Y17" s="14"/>
      <c r="Z17" s="14"/>
    </row>
    <row r="18" spans="1:26" x14ac:dyDescent="0.2">
      <c r="A18" s="10" t="s">
        <v>59</v>
      </c>
      <c r="B18" s="10" t="s">
        <v>71</v>
      </c>
      <c r="C18" s="14">
        <v>8.4045000000000005</v>
      </c>
      <c r="D18" s="14">
        <v>2.9908000000000001</v>
      </c>
      <c r="E18" s="14">
        <v>2.0672000000000001</v>
      </c>
      <c r="F18" s="14">
        <v>1.494</v>
      </c>
      <c r="G18" s="14">
        <v>0.79949999999999999</v>
      </c>
      <c r="H18" s="14">
        <v>1.2333000000000001</v>
      </c>
      <c r="I18" s="14">
        <v>0.71530000000000005</v>
      </c>
      <c r="J18" s="14">
        <v>0.75870000000000004</v>
      </c>
      <c r="K18" s="14">
        <v>0.9365</v>
      </c>
      <c r="L18" s="14">
        <v>1.3988</v>
      </c>
      <c r="M18" s="14">
        <v>2.6099000000000001</v>
      </c>
      <c r="N18" s="14">
        <v>1.7382</v>
      </c>
      <c r="O18" s="14">
        <v>3.3109000000000002</v>
      </c>
      <c r="P18" s="14">
        <v>2.3563000000000001</v>
      </c>
      <c r="Q18" s="14">
        <v>2.4767000000000001</v>
      </c>
      <c r="R18" s="14">
        <v>1.6156999999999999</v>
      </c>
      <c r="S18" s="14">
        <v>1.5774999999999999</v>
      </c>
      <c r="T18" s="14">
        <v>3.4302999999999999</v>
      </c>
      <c r="U18" s="14">
        <v>2.6987999999999999</v>
      </c>
      <c r="V18" s="14">
        <v>4.7161</v>
      </c>
      <c r="W18" s="14">
        <v>5.6327999999999996</v>
      </c>
      <c r="X18" s="17"/>
      <c r="Y18" s="14"/>
      <c r="Z18" s="14"/>
    </row>
    <row r="19" spans="1:26" x14ac:dyDescent="0.2">
      <c r="A19" s="10" t="s">
        <v>61</v>
      </c>
      <c r="B19" s="10" t="s">
        <v>72</v>
      </c>
      <c r="C19" s="14">
        <v>2.3759999999999999</v>
      </c>
      <c r="D19" s="14">
        <v>1.5119</v>
      </c>
      <c r="E19" s="14">
        <v>0.98050000000000004</v>
      </c>
      <c r="F19" s="14">
        <v>0.57889999999999997</v>
      </c>
      <c r="G19" s="14">
        <v>0.2737</v>
      </c>
      <c r="H19" s="14">
        <v>0.40500000000000003</v>
      </c>
      <c r="I19" s="14">
        <v>0.71530000000000005</v>
      </c>
      <c r="J19" s="14">
        <v>0.56689999999999996</v>
      </c>
      <c r="K19" s="14">
        <v>0.63280000000000003</v>
      </c>
      <c r="L19" s="14">
        <v>0.42499999999999999</v>
      </c>
      <c r="M19" s="14">
        <v>1.3154999999999999</v>
      </c>
      <c r="N19" s="14">
        <v>0.98550000000000004</v>
      </c>
      <c r="O19" s="14">
        <v>1.0707</v>
      </c>
      <c r="P19" s="14">
        <v>1.5253000000000001</v>
      </c>
      <c r="Q19" s="14">
        <v>1.3991</v>
      </c>
      <c r="R19" s="14">
        <v>0.43120000000000003</v>
      </c>
      <c r="S19" s="14">
        <v>0.48980000000000001</v>
      </c>
      <c r="T19" s="14">
        <v>1.0187999999999999</v>
      </c>
      <c r="U19" s="14">
        <v>1.738</v>
      </c>
      <c r="V19" s="14">
        <v>1.7685</v>
      </c>
      <c r="W19" s="14">
        <v>2.532</v>
      </c>
      <c r="X19" s="17"/>
      <c r="Y19" s="14"/>
      <c r="Z19" s="14"/>
    </row>
    <row r="20" spans="1:26" x14ac:dyDescent="0.2">
      <c r="A20" s="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21"/>
      <c r="Y20" s="18"/>
      <c r="Z20" s="18"/>
    </row>
    <row r="21" spans="1:26" x14ac:dyDescent="0.2">
      <c r="A21" s="6" t="s">
        <v>73</v>
      </c>
      <c r="B21" s="6" t="s">
        <v>74</v>
      </c>
      <c r="C21" s="20">
        <v>2.5901999999999998</v>
      </c>
      <c r="D21" s="20">
        <v>1.8548</v>
      </c>
      <c r="E21" s="20">
        <v>1.431</v>
      </c>
      <c r="F21" s="20">
        <v>0.79379999999999995</v>
      </c>
      <c r="G21" s="20">
        <v>0.28649999999999998</v>
      </c>
      <c r="H21" s="20">
        <v>0.72270000000000001</v>
      </c>
      <c r="I21" s="20">
        <v>0.63480000000000003</v>
      </c>
      <c r="J21" s="20">
        <v>0.36420000000000002</v>
      </c>
      <c r="K21" s="20">
        <v>0.28239999999999998</v>
      </c>
      <c r="L21" s="20">
        <v>0.39679999999999999</v>
      </c>
      <c r="M21" s="20">
        <v>0.47739999999999999</v>
      </c>
      <c r="N21" s="20">
        <v>0.3886</v>
      </c>
      <c r="O21" s="20">
        <v>0.86129999999999995</v>
      </c>
      <c r="P21" s="20">
        <v>0.66149999999999998</v>
      </c>
      <c r="Q21" s="20">
        <v>0.53569999999999995</v>
      </c>
      <c r="R21" s="20">
        <v>0.2011</v>
      </c>
      <c r="S21" s="20">
        <v>0.59179999999999999</v>
      </c>
      <c r="T21" s="20">
        <v>1.4704999999999999</v>
      </c>
      <c r="U21" s="20">
        <v>1.1480999999999999</v>
      </c>
      <c r="V21" s="20">
        <v>2.0274999999999999</v>
      </c>
      <c r="W21" s="20">
        <v>2.1987000000000001</v>
      </c>
      <c r="X21" s="23">
        <v>2.6096064063515501</v>
      </c>
      <c r="Y21" s="20">
        <v>2.2481152290095401</v>
      </c>
      <c r="Z21" s="20">
        <v>2.0583305894727202</v>
      </c>
    </row>
    <row r="22" spans="1:26" x14ac:dyDescent="0.2">
      <c r="A22" s="10" t="s">
        <v>57</v>
      </c>
      <c r="B22" s="10" t="s">
        <v>75</v>
      </c>
      <c r="C22" s="14">
        <v>3.9958</v>
      </c>
      <c r="D22" s="14">
        <v>2.5312000000000001</v>
      </c>
      <c r="E22" s="14">
        <v>1.6561999999999999</v>
      </c>
      <c r="F22" s="14">
        <v>1.2326999999999999</v>
      </c>
      <c r="G22" s="14">
        <v>0.64329999999999998</v>
      </c>
      <c r="H22" s="14">
        <v>0.62360000000000004</v>
      </c>
      <c r="I22" s="14">
        <v>0.76180000000000003</v>
      </c>
      <c r="J22" s="14">
        <v>0.59860000000000002</v>
      </c>
      <c r="K22" s="14">
        <v>0.40439999999999998</v>
      </c>
      <c r="L22" s="14">
        <v>0.34920000000000001</v>
      </c>
      <c r="M22" s="14">
        <v>0.55449999999999999</v>
      </c>
      <c r="N22" s="14">
        <v>0.41210000000000002</v>
      </c>
      <c r="O22" s="14">
        <v>0.64329999999999998</v>
      </c>
      <c r="P22" s="14">
        <v>0.78949999999999998</v>
      </c>
      <c r="Q22" s="14">
        <v>0.7147</v>
      </c>
      <c r="R22" s="14">
        <v>0.40820000000000001</v>
      </c>
      <c r="S22" s="14">
        <v>0.377</v>
      </c>
      <c r="T22" s="14">
        <v>1.3216000000000001</v>
      </c>
      <c r="U22" s="14">
        <v>1.4831000000000001</v>
      </c>
      <c r="V22" s="14">
        <v>2.3226</v>
      </c>
      <c r="W22" s="14">
        <v>2.3129</v>
      </c>
      <c r="X22" s="17"/>
      <c r="Y22" s="14"/>
      <c r="Z22" s="14"/>
    </row>
    <row r="23" spans="1:26" x14ac:dyDescent="0.2">
      <c r="A23" s="10" t="s">
        <v>59</v>
      </c>
      <c r="B23" s="10" t="s">
        <v>76</v>
      </c>
      <c r="C23" s="14">
        <v>6.3581000000000003</v>
      </c>
      <c r="D23" s="14">
        <v>3.3843000000000001</v>
      </c>
      <c r="E23" s="14">
        <v>2.5110000000000001</v>
      </c>
      <c r="F23" s="14">
        <v>1.8058000000000001</v>
      </c>
      <c r="G23" s="14">
        <v>1.097</v>
      </c>
      <c r="H23" s="14">
        <v>0.97130000000000005</v>
      </c>
      <c r="I23" s="14">
        <v>0.94189999999999996</v>
      </c>
      <c r="J23" s="14">
        <v>0.7248</v>
      </c>
      <c r="K23" s="14">
        <v>0.50029999999999997</v>
      </c>
      <c r="L23" s="14">
        <v>0.6522</v>
      </c>
      <c r="M23" s="14">
        <v>0.79530000000000001</v>
      </c>
      <c r="N23" s="14">
        <v>0.55430000000000001</v>
      </c>
      <c r="O23" s="14">
        <v>1.1910000000000001</v>
      </c>
      <c r="P23" s="14">
        <v>1.0387999999999999</v>
      </c>
      <c r="Q23" s="14">
        <v>1.0008999999999999</v>
      </c>
      <c r="R23" s="14">
        <v>0.60429999999999995</v>
      </c>
      <c r="S23" s="14">
        <v>0.66379999999999995</v>
      </c>
      <c r="T23" s="14">
        <v>1.9618</v>
      </c>
      <c r="U23" s="14">
        <v>1.7856000000000001</v>
      </c>
      <c r="V23" s="14">
        <v>3.1976</v>
      </c>
      <c r="W23" s="14">
        <v>2.8159999999999998</v>
      </c>
      <c r="X23" s="17"/>
      <c r="Y23" s="14"/>
      <c r="Z23" s="14"/>
    </row>
    <row r="24" spans="1:26" x14ac:dyDescent="0.2">
      <c r="A24" s="10" t="s">
        <v>61</v>
      </c>
      <c r="B24" s="10" t="s">
        <v>77</v>
      </c>
      <c r="C24" s="14">
        <v>2.4516</v>
      </c>
      <c r="D24" s="14">
        <v>1.419</v>
      </c>
      <c r="E24" s="14">
        <v>1.1024</v>
      </c>
      <c r="F24" s="14">
        <v>0.64300000000000002</v>
      </c>
      <c r="G24" s="14">
        <v>0.2767</v>
      </c>
      <c r="H24" s="14">
        <v>0.28449999999999998</v>
      </c>
      <c r="I24" s="14">
        <v>0.61309999999999998</v>
      </c>
      <c r="J24" s="14">
        <v>0.35349999999999998</v>
      </c>
      <c r="K24" s="14">
        <v>0.26900000000000002</v>
      </c>
      <c r="L24" s="14">
        <v>0.1726</v>
      </c>
      <c r="M24" s="14">
        <v>0.36470000000000002</v>
      </c>
      <c r="N24" s="14">
        <v>0.28549999999999998</v>
      </c>
      <c r="O24" s="14">
        <v>0.3629</v>
      </c>
      <c r="P24" s="14">
        <v>0.62780000000000002</v>
      </c>
      <c r="Q24" s="14">
        <v>0.53039999999999998</v>
      </c>
      <c r="R24" s="14">
        <v>0.14249999999999999</v>
      </c>
      <c r="S24" s="14">
        <v>0.18659999999999999</v>
      </c>
      <c r="T24" s="14">
        <v>0.55410000000000004</v>
      </c>
      <c r="U24" s="14">
        <v>1.1352</v>
      </c>
      <c r="V24" s="14">
        <v>1.151</v>
      </c>
      <c r="W24" s="14">
        <v>1.7124999999999999</v>
      </c>
      <c r="X24" s="17"/>
      <c r="Y24" s="14"/>
      <c r="Z24" s="14"/>
    </row>
    <row r="25" spans="1:26" x14ac:dyDescent="0.2">
      <c r="A25" s="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21"/>
      <c r="Y25" s="18"/>
      <c r="Z25" s="18"/>
    </row>
    <row r="26" spans="1:26" x14ac:dyDescent="0.2">
      <c r="A26" s="6" t="s">
        <v>78</v>
      </c>
      <c r="B26" s="6" t="s">
        <v>79</v>
      </c>
      <c r="C26" s="20">
        <v>57.971699999999998</v>
      </c>
      <c r="D26" s="20">
        <v>13.2675</v>
      </c>
      <c r="E26" s="20">
        <v>7.0621999999999998</v>
      </c>
      <c r="F26" s="20" t="s">
        <v>658</v>
      </c>
      <c r="G26" s="20">
        <v>7.1520000000000001</v>
      </c>
      <c r="H26" s="20">
        <v>6.1204000000000001</v>
      </c>
      <c r="I26" s="20">
        <v>13.4381</v>
      </c>
      <c r="J26" s="20">
        <v>4.5180999999999996</v>
      </c>
      <c r="K26" s="20">
        <v>2.8898000000000001</v>
      </c>
      <c r="L26" s="20">
        <v>41.654200000000003</v>
      </c>
      <c r="M26" s="20">
        <v>7.3164999999999996</v>
      </c>
      <c r="N26" s="20">
        <v>4.6059999999999999</v>
      </c>
      <c r="O26" s="20">
        <v>9.3108000000000004</v>
      </c>
      <c r="P26" s="20">
        <v>12.3674</v>
      </c>
      <c r="Q26" s="20">
        <v>7.0814000000000004</v>
      </c>
      <c r="R26" s="20">
        <v>2.9247999999999998</v>
      </c>
      <c r="S26" s="20">
        <v>6.4798999999999998</v>
      </c>
      <c r="T26" s="20">
        <v>9.6059000000000001</v>
      </c>
      <c r="U26" s="20">
        <v>12.079700000000001</v>
      </c>
      <c r="V26" s="20">
        <v>15.866300000000001</v>
      </c>
      <c r="W26" s="20">
        <v>15.971299999999999</v>
      </c>
      <c r="X26" s="23">
        <v>18.955916950263401</v>
      </c>
      <c r="Y26" s="20"/>
      <c r="Z26" s="20"/>
    </row>
    <row r="27" spans="1:26" x14ac:dyDescent="0.2">
      <c r="A27" s="10" t="s">
        <v>57</v>
      </c>
      <c r="B27" s="10" t="s">
        <v>80</v>
      </c>
      <c r="C27" s="14">
        <v>18.677399999999999</v>
      </c>
      <c r="D27" s="14">
        <v>56.539200000000001</v>
      </c>
      <c r="E27" s="14">
        <v>11.834300000000001</v>
      </c>
      <c r="F27" s="14">
        <v>6.0923999999999996</v>
      </c>
      <c r="G27" s="14">
        <v>7.1520000000000001</v>
      </c>
      <c r="H27" s="14">
        <v>15.5198</v>
      </c>
      <c r="I27" s="14">
        <v>6.4829999999999997</v>
      </c>
      <c r="J27" s="14">
        <v>12.657299999999999</v>
      </c>
      <c r="K27" s="14">
        <v>5.0145999999999997</v>
      </c>
      <c r="L27" s="14">
        <v>3.7227999999999999</v>
      </c>
      <c r="M27" s="14">
        <v>58.027200000000001</v>
      </c>
      <c r="N27" s="14">
        <v>6.31</v>
      </c>
      <c r="O27" s="14">
        <v>7.6212</v>
      </c>
      <c r="P27" s="14">
        <v>8.5555000000000003</v>
      </c>
      <c r="Q27" s="14">
        <v>13.3498</v>
      </c>
      <c r="R27" s="14">
        <v>5.3975</v>
      </c>
      <c r="S27" s="14">
        <v>5.4748999999999999</v>
      </c>
      <c r="T27" s="14">
        <v>14.444800000000001</v>
      </c>
      <c r="U27" s="14">
        <v>9.7066999999999997</v>
      </c>
      <c r="V27" s="14">
        <v>24.414000000000001</v>
      </c>
      <c r="W27" s="14">
        <v>18.0946</v>
      </c>
      <c r="X27" s="17"/>
      <c r="Y27" s="14"/>
      <c r="Z27" s="14"/>
    </row>
    <row r="28" spans="1:26" x14ac:dyDescent="0.2">
      <c r="A28" s="10" t="s">
        <v>59</v>
      </c>
      <c r="B28" s="10" t="s">
        <v>81</v>
      </c>
      <c r="C28" s="14">
        <v>57.971699999999998</v>
      </c>
      <c r="D28" s="14">
        <v>72.971500000000006</v>
      </c>
      <c r="E28" s="14">
        <v>17.4605</v>
      </c>
      <c r="F28" s="14">
        <v>8.4328000000000003</v>
      </c>
      <c r="G28" s="14">
        <v>7.1520000000000001</v>
      </c>
      <c r="H28" s="14">
        <v>23.2684</v>
      </c>
      <c r="I28" s="14">
        <v>13.4381</v>
      </c>
      <c r="J28" s="14">
        <v>14.2539</v>
      </c>
      <c r="K28" s="14">
        <v>5.8419999999999996</v>
      </c>
      <c r="L28" s="14">
        <v>41.654200000000003</v>
      </c>
      <c r="M28" s="14">
        <v>78.375699999999995</v>
      </c>
      <c r="N28" s="14">
        <v>8.2277000000000005</v>
      </c>
      <c r="O28" s="14">
        <v>13.4628</v>
      </c>
      <c r="P28" s="14">
        <v>12.3674</v>
      </c>
      <c r="Q28" s="14">
        <v>17.670300000000001</v>
      </c>
      <c r="R28" s="14">
        <v>7.6383000000000001</v>
      </c>
      <c r="S28" s="14">
        <v>9.0414999999999992</v>
      </c>
      <c r="T28" s="14">
        <v>20.7682</v>
      </c>
      <c r="U28" s="14">
        <v>12.079700000000001</v>
      </c>
      <c r="V28" s="14">
        <v>32.779400000000003</v>
      </c>
      <c r="W28" s="14">
        <v>21.058299999999999</v>
      </c>
      <c r="X28" s="17"/>
      <c r="Y28" s="14"/>
      <c r="Z28" s="14"/>
    </row>
    <row r="29" spans="1:26" x14ac:dyDescent="0.2">
      <c r="A29" s="10" t="s">
        <v>61</v>
      </c>
      <c r="B29" s="10" t="s">
        <v>82</v>
      </c>
      <c r="C29" s="14">
        <v>12.641999999999999</v>
      </c>
      <c r="D29" s="14">
        <v>13.2675</v>
      </c>
      <c r="E29" s="14">
        <v>7.0621999999999998</v>
      </c>
      <c r="F29" s="14">
        <v>3.2677999999999998</v>
      </c>
      <c r="G29" s="14">
        <v>7.1520000000000001</v>
      </c>
      <c r="H29" s="14">
        <v>6.1204000000000001</v>
      </c>
      <c r="I29" s="14">
        <v>5.2812999999999999</v>
      </c>
      <c r="J29" s="14">
        <v>4.5180999999999996</v>
      </c>
      <c r="K29" s="14">
        <v>2.8898000000000001</v>
      </c>
      <c r="L29" s="14">
        <v>1.9412</v>
      </c>
      <c r="M29" s="14">
        <v>7.3164999999999996</v>
      </c>
      <c r="N29" s="14">
        <v>4.6059999999999999</v>
      </c>
      <c r="O29" s="14">
        <v>4.3535000000000004</v>
      </c>
      <c r="P29" s="14">
        <v>6.9665999999999997</v>
      </c>
      <c r="Q29" s="14">
        <v>7.0814000000000004</v>
      </c>
      <c r="R29" s="14">
        <v>2.0385</v>
      </c>
      <c r="S29" s="14">
        <v>2.8071999999999999</v>
      </c>
      <c r="T29" s="14">
        <v>6.1680999999999999</v>
      </c>
      <c r="U29" s="14">
        <v>7.6597</v>
      </c>
      <c r="V29" s="14">
        <v>12.292299999999999</v>
      </c>
      <c r="W29" s="14">
        <v>14.393700000000001</v>
      </c>
      <c r="X29" s="17"/>
      <c r="Y29" s="14"/>
      <c r="Z29" s="14"/>
    </row>
    <row r="30" spans="1:26" x14ac:dyDescent="0.2">
      <c r="A30" s="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21"/>
      <c r="Y30" s="18"/>
      <c r="Z30" s="18"/>
    </row>
    <row r="31" spans="1:26" x14ac:dyDescent="0.2">
      <c r="A31" s="6" t="s">
        <v>83</v>
      </c>
      <c r="B31" s="6" t="s">
        <v>84</v>
      </c>
      <c r="C31" s="20">
        <v>204.99119999999999</v>
      </c>
      <c r="D31" s="20">
        <v>25.627099999999999</v>
      </c>
      <c r="E31" s="20">
        <v>9.0292999999999992</v>
      </c>
      <c r="F31" s="20" t="s">
        <v>658</v>
      </c>
      <c r="G31" s="20">
        <v>64.136300000000006</v>
      </c>
      <c r="H31" s="20">
        <v>11.8865</v>
      </c>
      <c r="I31" s="20" t="s">
        <v>658</v>
      </c>
      <c r="J31" s="20" t="s">
        <v>658</v>
      </c>
      <c r="K31" s="20">
        <v>4.2403000000000004</v>
      </c>
      <c r="L31" s="20" t="s">
        <v>658</v>
      </c>
      <c r="M31" s="20">
        <v>10.9709</v>
      </c>
      <c r="N31" s="20">
        <v>7.8236999999999997</v>
      </c>
      <c r="O31" s="20">
        <v>14.693300000000001</v>
      </c>
      <c r="P31" s="20" t="s">
        <v>658</v>
      </c>
      <c r="Q31" s="20">
        <v>10.250299999999999</v>
      </c>
      <c r="R31" s="20">
        <v>3.9205000000000001</v>
      </c>
      <c r="S31" s="20">
        <v>7.6817000000000002</v>
      </c>
      <c r="T31" s="20">
        <v>11.0753</v>
      </c>
      <c r="U31" s="20">
        <v>16.956900000000001</v>
      </c>
      <c r="V31" s="20">
        <v>17.290099999999999</v>
      </c>
      <c r="W31" s="20">
        <v>18.819800000000001</v>
      </c>
      <c r="X31" s="23">
        <v>22.336799922767501</v>
      </c>
      <c r="Y31" s="20"/>
      <c r="Z31" s="20"/>
    </row>
    <row r="32" spans="1:26" x14ac:dyDescent="0.2">
      <c r="A32" s="10" t="s">
        <v>57</v>
      </c>
      <c r="B32" s="10" t="s">
        <v>85</v>
      </c>
      <c r="C32" s="14">
        <v>22.691800000000001</v>
      </c>
      <c r="D32" s="14">
        <v>199.84100000000001</v>
      </c>
      <c r="E32" s="14">
        <v>22.840299999999999</v>
      </c>
      <c r="F32" s="14">
        <v>7.7892999999999999</v>
      </c>
      <c r="G32" s="14">
        <v>64.136300000000006</v>
      </c>
      <c r="H32" s="14">
        <v>139.00020000000001</v>
      </c>
      <c r="I32" s="14">
        <v>12.5372</v>
      </c>
      <c r="J32" s="14" t="s">
        <v>658</v>
      </c>
      <c r="K32" s="14">
        <v>4.2403000000000004</v>
      </c>
      <c r="L32" s="14">
        <v>5.2398999999999996</v>
      </c>
      <c r="M32" s="14">
        <v>10.9709</v>
      </c>
      <c r="N32" s="14">
        <v>9.4654000000000007</v>
      </c>
      <c r="O32" s="14">
        <v>12.9406</v>
      </c>
      <c r="P32" s="14">
        <v>13.476800000000001</v>
      </c>
      <c r="Q32" s="14">
        <v>10.250299999999999</v>
      </c>
      <c r="R32" s="14">
        <v>7.8117000000000001</v>
      </c>
      <c r="S32" s="14">
        <v>7.3349000000000002</v>
      </c>
      <c r="T32" s="14">
        <v>17.122699999999998</v>
      </c>
      <c r="U32" s="14">
        <v>11.2037</v>
      </c>
      <c r="V32" s="14">
        <v>34.250799999999998</v>
      </c>
      <c r="W32" s="14">
        <v>19.7241</v>
      </c>
      <c r="X32" s="17"/>
      <c r="Y32" s="14"/>
      <c r="Z32" s="14"/>
    </row>
    <row r="33" spans="1:26" x14ac:dyDescent="0.2">
      <c r="A33" s="10" t="s">
        <v>59</v>
      </c>
      <c r="B33" s="10" t="s">
        <v>86</v>
      </c>
      <c r="C33" s="14">
        <v>204.99119999999999</v>
      </c>
      <c r="D33" s="14">
        <v>258.03160000000003</v>
      </c>
      <c r="E33" s="14">
        <v>33.726300000000002</v>
      </c>
      <c r="F33" s="14">
        <v>10.781700000000001</v>
      </c>
      <c r="G33" s="14">
        <v>64.136300000000006</v>
      </c>
      <c r="H33" s="14">
        <v>208.6626</v>
      </c>
      <c r="I33" s="14">
        <v>14.455500000000001</v>
      </c>
      <c r="J33" s="14" t="s">
        <v>658</v>
      </c>
      <c r="K33" s="14">
        <v>4.2403000000000004</v>
      </c>
      <c r="L33" s="14">
        <v>9.3737999999999992</v>
      </c>
      <c r="M33" s="14">
        <v>10.9709</v>
      </c>
      <c r="N33" s="14">
        <v>12.3371</v>
      </c>
      <c r="O33" s="14">
        <v>22.8675</v>
      </c>
      <c r="P33" s="14">
        <v>16.983699999999999</v>
      </c>
      <c r="Q33" s="14">
        <v>10.250299999999999</v>
      </c>
      <c r="R33" s="14">
        <v>11.0564</v>
      </c>
      <c r="S33" s="14">
        <v>12.1197</v>
      </c>
      <c r="T33" s="14">
        <v>24.620200000000001</v>
      </c>
      <c r="U33" s="14">
        <v>16.956900000000001</v>
      </c>
      <c r="V33" s="14">
        <v>46.0139</v>
      </c>
      <c r="W33" s="14">
        <v>22.948</v>
      </c>
      <c r="X33" s="17"/>
      <c r="Y33" s="14"/>
      <c r="Z33" s="14"/>
    </row>
    <row r="34" spans="1:26" x14ac:dyDescent="0.2">
      <c r="A34" s="10" t="s">
        <v>61</v>
      </c>
      <c r="B34" s="10" t="s">
        <v>87</v>
      </c>
      <c r="C34" s="14">
        <v>14.9559</v>
      </c>
      <c r="D34" s="14">
        <v>25.627099999999999</v>
      </c>
      <c r="E34" s="14">
        <v>9.0292999999999992</v>
      </c>
      <c r="F34" s="14">
        <v>4.1779999999999999</v>
      </c>
      <c r="G34" s="14">
        <v>64.136300000000006</v>
      </c>
      <c r="H34" s="14">
        <v>11.8865</v>
      </c>
      <c r="I34" s="14">
        <v>10.2569</v>
      </c>
      <c r="J34" s="14" t="s">
        <v>658</v>
      </c>
      <c r="K34" s="14">
        <v>4.2403000000000004</v>
      </c>
      <c r="L34" s="14">
        <v>2.8483000000000001</v>
      </c>
      <c r="M34" s="14">
        <v>10.9709</v>
      </c>
      <c r="N34" s="14">
        <v>6.9947999999999997</v>
      </c>
      <c r="O34" s="14">
        <v>7.3947000000000003</v>
      </c>
      <c r="P34" s="14">
        <v>10.9939</v>
      </c>
      <c r="Q34" s="14">
        <v>10.250299999999999</v>
      </c>
      <c r="R34" s="14">
        <v>2.9506999999999999</v>
      </c>
      <c r="S34" s="14">
        <v>3.7629000000000001</v>
      </c>
      <c r="T34" s="14">
        <v>7.3121</v>
      </c>
      <c r="U34" s="14">
        <v>8.8314000000000004</v>
      </c>
      <c r="V34" s="14">
        <v>17.255199999999999</v>
      </c>
      <c r="W34" s="14">
        <v>15.6854</v>
      </c>
      <c r="X34" s="17"/>
      <c r="Y34" s="14"/>
      <c r="Z34" s="14"/>
    </row>
    <row r="35" spans="1:26" x14ac:dyDescent="0.2">
      <c r="A35" s="6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21"/>
      <c r="Y35" s="18"/>
      <c r="Z35" s="18"/>
    </row>
    <row r="36" spans="1:26" x14ac:dyDescent="0.2">
      <c r="A36" s="6" t="s">
        <v>88</v>
      </c>
      <c r="B36" s="6" t="s">
        <v>89</v>
      </c>
      <c r="C36" s="20">
        <v>1.9537</v>
      </c>
      <c r="D36" s="20">
        <v>1.7898000000000001</v>
      </c>
      <c r="E36" s="20">
        <v>1.2713000000000001</v>
      </c>
      <c r="F36" s="20">
        <v>0.7611</v>
      </c>
      <c r="G36" s="20">
        <v>0.31859999999999999</v>
      </c>
      <c r="H36" s="20">
        <v>0.68630000000000002</v>
      </c>
      <c r="I36" s="20">
        <v>0.47399999999999998</v>
      </c>
      <c r="J36" s="20">
        <v>0.38719999999999999</v>
      </c>
      <c r="K36" s="20">
        <v>0.24979999999999999</v>
      </c>
      <c r="L36" s="20">
        <v>0.52910000000000001</v>
      </c>
      <c r="M36" s="20">
        <v>0.57940000000000003</v>
      </c>
      <c r="N36" s="20">
        <v>0.4824</v>
      </c>
      <c r="O36" s="20">
        <v>0.78890000000000005</v>
      </c>
      <c r="P36" s="20">
        <v>0.65769999999999995</v>
      </c>
      <c r="Q36" s="20">
        <v>0.49719999999999998</v>
      </c>
      <c r="R36" s="20">
        <v>0.13139999999999999</v>
      </c>
      <c r="S36" s="20">
        <v>0.38369999999999999</v>
      </c>
      <c r="T36" s="20">
        <v>1.1605000000000001</v>
      </c>
      <c r="U36" s="20">
        <v>0.88270000000000004</v>
      </c>
      <c r="V36" s="20">
        <v>1.7385999999999999</v>
      </c>
      <c r="W36" s="20">
        <v>2.0939999999999999</v>
      </c>
      <c r="X36" s="23">
        <v>2.1487763721603601</v>
      </c>
      <c r="Y36" s="20">
        <v>2.10900130979971</v>
      </c>
      <c r="Z36" s="20">
        <v>1.9309605900900899</v>
      </c>
    </row>
    <row r="37" spans="1:26" x14ac:dyDescent="0.2">
      <c r="A37" s="10" t="s">
        <v>57</v>
      </c>
      <c r="B37" s="10" t="s">
        <v>90</v>
      </c>
      <c r="C37" s="14">
        <v>5.1797000000000004</v>
      </c>
      <c r="D37" s="14">
        <v>1.8962000000000001</v>
      </c>
      <c r="E37" s="14">
        <v>1.5921000000000001</v>
      </c>
      <c r="F37" s="14">
        <v>1.0744</v>
      </c>
      <c r="G37" s="14">
        <v>0.61160000000000003</v>
      </c>
      <c r="H37" s="14">
        <v>0.63029999999999997</v>
      </c>
      <c r="I37" s="14">
        <v>0.72489999999999999</v>
      </c>
      <c r="J37" s="14">
        <v>0.43840000000000001</v>
      </c>
      <c r="K37" s="14">
        <v>0.42720000000000002</v>
      </c>
      <c r="L37" s="14">
        <v>0.31719999999999998</v>
      </c>
      <c r="M37" s="14">
        <v>0.68669999999999998</v>
      </c>
      <c r="N37" s="14">
        <v>0.51400000000000001</v>
      </c>
      <c r="O37" s="14">
        <v>0.73640000000000005</v>
      </c>
      <c r="P37" s="14">
        <v>0.71740000000000004</v>
      </c>
      <c r="Q37" s="14">
        <v>0.7107</v>
      </c>
      <c r="R37" s="14">
        <v>0.36959999999999998</v>
      </c>
      <c r="S37" s="14">
        <v>0.30680000000000002</v>
      </c>
      <c r="T37" s="14">
        <v>1.1131</v>
      </c>
      <c r="U37" s="14">
        <v>1.1733</v>
      </c>
      <c r="V37" s="14">
        <v>2.0579999999999998</v>
      </c>
      <c r="W37" s="14">
        <v>2.0266000000000002</v>
      </c>
      <c r="X37" s="17"/>
      <c r="Y37" s="14"/>
      <c r="Z37" s="14"/>
    </row>
    <row r="38" spans="1:26" x14ac:dyDescent="0.2">
      <c r="A38" s="10" t="s">
        <v>59</v>
      </c>
      <c r="B38" s="10" t="s">
        <v>91</v>
      </c>
      <c r="C38" s="14">
        <v>6.5903999999999998</v>
      </c>
      <c r="D38" s="14">
        <v>2.6360000000000001</v>
      </c>
      <c r="E38" s="14">
        <v>2.3820999999999999</v>
      </c>
      <c r="F38" s="14">
        <v>1.5492999999999999</v>
      </c>
      <c r="G38" s="14">
        <v>1.0051000000000001</v>
      </c>
      <c r="H38" s="14">
        <v>0.96430000000000005</v>
      </c>
      <c r="I38" s="14">
        <v>0.84260000000000002</v>
      </c>
      <c r="J38" s="14">
        <v>0.51249999999999996</v>
      </c>
      <c r="K38" s="14">
        <v>0.49390000000000001</v>
      </c>
      <c r="L38" s="14">
        <v>0.5917</v>
      </c>
      <c r="M38" s="14">
        <v>0.879</v>
      </c>
      <c r="N38" s="14">
        <v>0.63880000000000003</v>
      </c>
      <c r="O38" s="14">
        <v>1.2296</v>
      </c>
      <c r="P38" s="14">
        <v>0.92320000000000002</v>
      </c>
      <c r="Q38" s="14">
        <v>0.94130000000000003</v>
      </c>
      <c r="R38" s="14">
        <v>0.5393</v>
      </c>
      <c r="S38" s="14">
        <v>0.55200000000000005</v>
      </c>
      <c r="T38" s="14">
        <v>1.6886000000000001</v>
      </c>
      <c r="U38" s="14">
        <v>1.4334</v>
      </c>
      <c r="V38" s="14">
        <v>2.8517999999999999</v>
      </c>
      <c r="W38" s="14">
        <v>2.4035000000000002</v>
      </c>
      <c r="X38" s="17"/>
      <c r="Y38" s="14"/>
      <c r="Z38" s="14"/>
    </row>
    <row r="39" spans="1:26" x14ac:dyDescent="0.2">
      <c r="A39" s="10" t="s">
        <v>61</v>
      </c>
      <c r="B39" s="10" t="s">
        <v>92</v>
      </c>
      <c r="C39" s="14">
        <v>1.9534</v>
      </c>
      <c r="D39" s="14">
        <v>0.99639999999999995</v>
      </c>
      <c r="E39" s="14">
        <v>1.0927</v>
      </c>
      <c r="F39" s="14">
        <v>0.50180000000000002</v>
      </c>
      <c r="G39" s="14">
        <v>0.2303</v>
      </c>
      <c r="H39" s="14">
        <v>0.24390000000000001</v>
      </c>
      <c r="I39" s="14">
        <v>0.47399999999999998</v>
      </c>
      <c r="J39" s="14">
        <v>0.34229999999999999</v>
      </c>
      <c r="K39" s="14">
        <v>0.24979999999999999</v>
      </c>
      <c r="L39" s="14">
        <v>0.15709999999999999</v>
      </c>
      <c r="M39" s="14">
        <v>0.50860000000000005</v>
      </c>
      <c r="N39" s="14">
        <v>0.40639999999999998</v>
      </c>
      <c r="O39" s="14">
        <v>0.46110000000000001</v>
      </c>
      <c r="P39" s="14">
        <v>0.57210000000000005</v>
      </c>
      <c r="Q39" s="14">
        <v>0.49719999999999998</v>
      </c>
      <c r="R39" s="14">
        <v>0.1157</v>
      </c>
      <c r="S39" s="14">
        <v>0.12330000000000001</v>
      </c>
      <c r="T39" s="14">
        <v>0.35520000000000002</v>
      </c>
      <c r="U39" s="14">
        <v>0.86260000000000003</v>
      </c>
      <c r="V39" s="14">
        <v>0.90290000000000004</v>
      </c>
      <c r="W39" s="14">
        <v>1.5503</v>
      </c>
      <c r="X39" s="17"/>
      <c r="Y39" s="14"/>
      <c r="Z39" s="14"/>
    </row>
    <row r="40" spans="1:26" x14ac:dyDescent="0.2">
      <c r="A40" s="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21"/>
      <c r="Y40" s="18"/>
      <c r="Z40" s="18"/>
    </row>
    <row r="41" spans="1:26" x14ac:dyDescent="0.2">
      <c r="A41" s="6" t="s">
        <v>93</v>
      </c>
      <c r="B41" s="6" t="s">
        <v>94</v>
      </c>
      <c r="C41" s="20">
        <v>12.2521</v>
      </c>
      <c r="D41" s="20">
        <v>12.1891</v>
      </c>
      <c r="E41" s="20">
        <v>13.398999999999999</v>
      </c>
      <c r="F41" s="20">
        <v>11.0054</v>
      </c>
      <c r="G41" s="20">
        <v>2.9373</v>
      </c>
      <c r="H41" s="20">
        <v>13.972</v>
      </c>
      <c r="I41" s="20">
        <v>8.4776000000000007</v>
      </c>
      <c r="J41" s="20">
        <v>4.2055999999999996</v>
      </c>
      <c r="K41" s="20">
        <v>2.6692</v>
      </c>
      <c r="L41" s="20">
        <v>4.2693000000000003</v>
      </c>
      <c r="M41" s="20">
        <v>5.5585000000000004</v>
      </c>
      <c r="N41" s="20">
        <v>5.1984000000000004</v>
      </c>
      <c r="O41" s="20">
        <v>8.4618000000000002</v>
      </c>
      <c r="P41" s="20">
        <v>7.2981999999999996</v>
      </c>
      <c r="Q41" s="20">
        <v>4.2103999999999999</v>
      </c>
      <c r="R41" s="20">
        <v>1.3996</v>
      </c>
      <c r="S41" s="20">
        <v>3.3839000000000001</v>
      </c>
      <c r="T41" s="20">
        <v>7.2119</v>
      </c>
      <c r="U41" s="20">
        <v>5.3103999999999996</v>
      </c>
      <c r="V41" s="20">
        <v>11.0443</v>
      </c>
      <c r="W41" s="20">
        <v>15.740500000000001</v>
      </c>
      <c r="X41" s="23">
        <v>14.3639662619064</v>
      </c>
      <c r="Y41" s="20">
        <v>12.005776229741301</v>
      </c>
      <c r="Z41" s="20">
        <v>10.851790028270401</v>
      </c>
    </row>
    <row r="42" spans="1:26" x14ac:dyDescent="0.2">
      <c r="A42" s="10" t="s">
        <v>57</v>
      </c>
      <c r="B42" s="10" t="s">
        <v>95</v>
      </c>
      <c r="C42" s="14">
        <v>18.3032</v>
      </c>
      <c r="D42" s="14">
        <v>11.895300000000001</v>
      </c>
      <c r="E42" s="14">
        <v>10.8619</v>
      </c>
      <c r="F42" s="14">
        <v>11.3353</v>
      </c>
      <c r="G42" s="14">
        <v>8.8388000000000009</v>
      </c>
      <c r="H42" s="14">
        <v>5.8432000000000004</v>
      </c>
      <c r="I42" s="14">
        <v>14.7531</v>
      </c>
      <c r="J42" s="14">
        <v>7.8310000000000004</v>
      </c>
      <c r="K42" s="14">
        <v>4.6398999999999999</v>
      </c>
      <c r="L42" s="14">
        <v>3.3841000000000001</v>
      </c>
      <c r="M42" s="14">
        <v>5.5441000000000003</v>
      </c>
      <c r="N42" s="14">
        <v>4.9339000000000004</v>
      </c>
      <c r="O42" s="14">
        <v>7.9355000000000002</v>
      </c>
      <c r="P42" s="14">
        <v>7.6952999999999996</v>
      </c>
      <c r="Q42" s="14">
        <v>7.8815</v>
      </c>
      <c r="R42" s="14">
        <v>3.1311</v>
      </c>
      <c r="S42" s="14">
        <v>3.2648000000000001</v>
      </c>
      <c r="T42" s="14">
        <v>9.8041</v>
      </c>
      <c r="U42" s="14">
        <v>7.2907000000000002</v>
      </c>
      <c r="V42" s="14">
        <v>12.383100000000001</v>
      </c>
      <c r="W42" s="14">
        <v>12.883599999999999</v>
      </c>
      <c r="X42" s="17"/>
      <c r="Y42" s="14"/>
      <c r="Z42" s="14"/>
    </row>
    <row r="43" spans="1:26" x14ac:dyDescent="0.2">
      <c r="A43" s="10" t="s">
        <v>59</v>
      </c>
      <c r="B43" s="10" t="s">
        <v>96</v>
      </c>
      <c r="C43" s="14">
        <v>23.257899999999999</v>
      </c>
      <c r="D43" s="14">
        <v>16.531500000000001</v>
      </c>
      <c r="E43" s="14">
        <v>16.222799999999999</v>
      </c>
      <c r="F43" s="14">
        <v>16.328700000000001</v>
      </c>
      <c r="G43" s="14">
        <v>14.532500000000001</v>
      </c>
      <c r="H43" s="14">
        <v>13.972</v>
      </c>
      <c r="I43" s="14">
        <v>17.153400000000001</v>
      </c>
      <c r="J43" s="14">
        <v>9.1669999999999998</v>
      </c>
      <c r="K43" s="14">
        <v>5.3648999999999996</v>
      </c>
      <c r="L43" s="14">
        <v>6.3224999999999998</v>
      </c>
      <c r="M43" s="14">
        <v>7.0921000000000003</v>
      </c>
      <c r="N43" s="14">
        <v>6.1288999999999998</v>
      </c>
      <c r="O43" s="14">
        <v>13.250299999999999</v>
      </c>
      <c r="P43" s="14">
        <v>9.9019999999999992</v>
      </c>
      <c r="Q43" s="14">
        <v>10.4458</v>
      </c>
      <c r="R43" s="14">
        <v>4.5671999999999997</v>
      </c>
      <c r="S43" s="14">
        <v>5.8794000000000004</v>
      </c>
      <c r="T43" s="14">
        <v>14.8917</v>
      </c>
      <c r="U43" s="14">
        <v>8.9077000000000002</v>
      </c>
      <c r="V43" s="14">
        <v>17.1557</v>
      </c>
      <c r="W43" s="14">
        <v>15.740500000000001</v>
      </c>
      <c r="X43" s="17"/>
      <c r="Y43" s="14"/>
      <c r="Z43" s="14"/>
    </row>
    <row r="44" spans="1:26" x14ac:dyDescent="0.2">
      <c r="A44" s="10" t="s">
        <v>61</v>
      </c>
      <c r="B44" s="10" t="s">
        <v>97</v>
      </c>
      <c r="C44" s="14">
        <v>12.2502</v>
      </c>
      <c r="D44" s="14">
        <v>6.2488000000000001</v>
      </c>
      <c r="E44" s="14">
        <v>7.4414999999999996</v>
      </c>
      <c r="F44" s="14">
        <v>5.2884000000000002</v>
      </c>
      <c r="G44" s="14">
        <v>2.1233</v>
      </c>
      <c r="H44" s="14">
        <v>2.2484999999999999</v>
      </c>
      <c r="I44" s="14">
        <v>8.4776000000000007</v>
      </c>
      <c r="J44" s="14">
        <v>4.2055999999999996</v>
      </c>
      <c r="K44" s="14">
        <v>2.6692</v>
      </c>
      <c r="L44" s="14">
        <v>1.6785000000000001</v>
      </c>
      <c r="M44" s="14">
        <v>4.1040000000000001</v>
      </c>
      <c r="N44" s="14">
        <v>3.8986999999999998</v>
      </c>
      <c r="O44" s="14">
        <v>4.9687999999999999</v>
      </c>
      <c r="P44" s="14">
        <v>6.1357999999999997</v>
      </c>
      <c r="Q44" s="14">
        <v>4.2103999999999999</v>
      </c>
      <c r="R44" s="14">
        <v>0.97989999999999999</v>
      </c>
      <c r="S44" s="14">
        <v>1.3133999999999999</v>
      </c>
      <c r="T44" s="14">
        <v>3.1328</v>
      </c>
      <c r="U44" s="14">
        <v>5.3103999999999996</v>
      </c>
      <c r="V44" s="14">
        <v>5.4318999999999997</v>
      </c>
      <c r="W44" s="14">
        <v>9.8483999999999998</v>
      </c>
      <c r="X44" s="17"/>
      <c r="Y44" s="14"/>
      <c r="Z44" s="14"/>
    </row>
    <row r="45" spans="1:26" x14ac:dyDescent="0.2">
      <c r="A45" s="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21"/>
      <c r="Y45" s="18"/>
      <c r="Z45" s="18"/>
    </row>
    <row r="46" spans="1:26" x14ac:dyDescent="0.2">
      <c r="A46" s="6" t="s">
        <v>98</v>
      </c>
      <c r="B46" s="6" t="s">
        <v>99</v>
      </c>
      <c r="C46" s="20">
        <v>14.285600000000001</v>
      </c>
      <c r="D46" s="20">
        <v>15.341799999999999</v>
      </c>
      <c r="E46" s="20">
        <v>21.573799999999999</v>
      </c>
      <c r="F46" s="20">
        <v>24.7027</v>
      </c>
      <c r="G46" s="20">
        <v>3.9958999999999998</v>
      </c>
      <c r="H46" s="20">
        <v>39.311500000000002</v>
      </c>
      <c r="I46" s="20">
        <v>20.318899999999999</v>
      </c>
      <c r="J46" s="20">
        <v>5.8696999999999999</v>
      </c>
      <c r="K46" s="20">
        <v>3.4830999999999999</v>
      </c>
      <c r="L46" s="20">
        <v>5.1852</v>
      </c>
      <c r="M46" s="20">
        <v>7.3445</v>
      </c>
      <c r="N46" s="20">
        <v>8.0663</v>
      </c>
      <c r="O46" s="20">
        <v>12.785</v>
      </c>
      <c r="P46" s="20">
        <v>9.7028999999999996</v>
      </c>
      <c r="Q46" s="20">
        <v>5.2271999999999998</v>
      </c>
      <c r="R46" s="20">
        <v>1.8262</v>
      </c>
      <c r="S46" s="20">
        <v>4.2906000000000004</v>
      </c>
      <c r="T46" s="20">
        <v>8.7131000000000007</v>
      </c>
      <c r="U46" s="20">
        <v>6.2043999999999997</v>
      </c>
      <c r="V46" s="20">
        <v>12.972200000000001</v>
      </c>
      <c r="W46" s="20">
        <v>19.9132</v>
      </c>
      <c r="X46" s="23">
        <v>19.732832612159999</v>
      </c>
      <c r="Y46" s="20">
        <v>15.517940177691999</v>
      </c>
      <c r="Z46" s="20">
        <v>13.7448942784831</v>
      </c>
    </row>
    <row r="47" spans="1:26" x14ac:dyDescent="0.2">
      <c r="A47" s="10" t="s">
        <v>57</v>
      </c>
      <c r="B47" s="10" t="s">
        <v>100</v>
      </c>
      <c r="C47" s="14">
        <v>20.342199999999998</v>
      </c>
      <c r="D47" s="14">
        <v>13.8742</v>
      </c>
      <c r="E47" s="14">
        <v>13.6905</v>
      </c>
      <c r="F47" s="14">
        <v>18.279</v>
      </c>
      <c r="G47" s="14">
        <v>19.831800000000001</v>
      </c>
      <c r="H47" s="14">
        <v>8.0324000000000009</v>
      </c>
      <c r="I47" s="14">
        <v>41.495199999999997</v>
      </c>
      <c r="J47" s="14">
        <v>18.752199999999998</v>
      </c>
      <c r="K47" s="14">
        <v>6.4748999999999999</v>
      </c>
      <c r="L47" s="14">
        <v>4.4145000000000003</v>
      </c>
      <c r="M47" s="14">
        <v>6.7359</v>
      </c>
      <c r="N47" s="14">
        <v>6.524</v>
      </c>
      <c r="O47" s="14">
        <v>12.312099999999999</v>
      </c>
      <c r="P47" s="14">
        <v>11.621499999999999</v>
      </c>
      <c r="Q47" s="14">
        <v>10.476900000000001</v>
      </c>
      <c r="R47" s="14">
        <v>3.8875999999999999</v>
      </c>
      <c r="S47" s="14">
        <v>4.2595000000000001</v>
      </c>
      <c r="T47" s="14">
        <v>12.4291</v>
      </c>
      <c r="U47" s="14">
        <v>8.8074999999999992</v>
      </c>
      <c r="V47" s="14">
        <v>14.468</v>
      </c>
      <c r="W47" s="14">
        <v>15.138299999999999</v>
      </c>
      <c r="X47" s="17"/>
      <c r="Y47" s="14"/>
      <c r="Z47" s="14"/>
    </row>
    <row r="48" spans="1:26" x14ac:dyDescent="0.2">
      <c r="A48" s="10" t="s">
        <v>59</v>
      </c>
      <c r="B48" s="10" t="s">
        <v>101</v>
      </c>
      <c r="C48" s="14">
        <v>25.844999999999999</v>
      </c>
      <c r="D48" s="14">
        <v>19.275300000000001</v>
      </c>
      <c r="E48" s="14">
        <v>21.573799999999999</v>
      </c>
      <c r="F48" s="14">
        <v>26.291</v>
      </c>
      <c r="G48" s="14">
        <v>32.619500000000002</v>
      </c>
      <c r="H48" s="14">
        <v>39.311500000000002</v>
      </c>
      <c r="I48" s="14">
        <v>48.2624</v>
      </c>
      <c r="J48" s="14">
        <v>21.9711</v>
      </c>
      <c r="K48" s="14">
        <v>7.4875999999999996</v>
      </c>
      <c r="L48" s="14">
        <v>8.2505000000000006</v>
      </c>
      <c r="M48" s="14">
        <v>8.6136999999999997</v>
      </c>
      <c r="N48" s="14">
        <v>8.0981000000000005</v>
      </c>
      <c r="O48" s="14">
        <v>20.560500000000001</v>
      </c>
      <c r="P48" s="14">
        <v>14.960900000000001</v>
      </c>
      <c r="Q48" s="14">
        <v>13.887600000000001</v>
      </c>
      <c r="R48" s="14">
        <v>5.6700999999999997</v>
      </c>
      <c r="S48" s="14">
        <v>7.6717000000000004</v>
      </c>
      <c r="T48" s="14">
        <v>18.881499999999999</v>
      </c>
      <c r="U48" s="14">
        <v>10.762</v>
      </c>
      <c r="V48" s="14">
        <v>20.043800000000001</v>
      </c>
      <c r="W48" s="14">
        <v>19.9132</v>
      </c>
      <c r="X48" s="17"/>
      <c r="Y48" s="14"/>
      <c r="Z48" s="14"/>
    </row>
    <row r="49" spans="1:26" x14ac:dyDescent="0.2">
      <c r="A49" s="10" t="s">
        <v>61</v>
      </c>
      <c r="B49" s="10" t="s">
        <v>102</v>
      </c>
      <c r="C49" s="14">
        <v>13.946899999999999</v>
      </c>
      <c r="D49" s="14">
        <v>7.2858999999999998</v>
      </c>
      <c r="E49" s="14">
        <v>9.3661999999999992</v>
      </c>
      <c r="F49" s="14">
        <v>8.5147999999999993</v>
      </c>
      <c r="G49" s="14">
        <v>2.8883999999999999</v>
      </c>
      <c r="H49" s="14">
        <v>3.0588000000000002</v>
      </c>
      <c r="I49" s="14">
        <v>20.318899999999999</v>
      </c>
      <c r="J49" s="14">
        <v>5.8696999999999999</v>
      </c>
      <c r="K49" s="14">
        <v>3.4830999999999999</v>
      </c>
      <c r="L49" s="14">
        <v>2.1903999999999999</v>
      </c>
      <c r="M49" s="14">
        <v>4.9843999999999999</v>
      </c>
      <c r="N49" s="14">
        <v>5.1513</v>
      </c>
      <c r="O49" s="14">
        <v>7.71</v>
      </c>
      <c r="P49" s="14">
        <v>9.2706</v>
      </c>
      <c r="Q49" s="14">
        <v>5.2271999999999998</v>
      </c>
      <c r="R49" s="14">
        <v>1.2165999999999999</v>
      </c>
      <c r="S49" s="14">
        <v>1.7138</v>
      </c>
      <c r="T49" s="14">
        <v>3.9722</v>
      </c>
      <c r="U49" s="14">
        <v>6.2043999999999997</v>
      </c>
      <c r="V49" s="14">
        <v>6.3463000000000003</v>
      </c>
      <c r="W49" s="14">
        <v>11.567600000000001</v>
      </c>
      <c r="X49" s="17"/>
      <c r="Y49" s="14"/>
      <c r="Z49" s="14"/>
    </row>
    <row r="50" spans="1:26" x14ac:dyDescent="0.2">
      <c r="A50" s="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21"/>
      <c r="Y50" s="18"/>
      <c r="Z50" s="18"/>
    </row>
    <row r="51" spans="1:26" x14ac:dyDescent="0.2">
      <c r="A51" s="6" t="s">
        <v>103</v>
      </c>
      <c r="B51" s="6" t="s">
        <v>104</v>
      </c>
      <c r="C51" s="20">
        <v>97.2</v>
      </c>
      <c r="D51" s="20">
        <v>63.6</v>
      </c>
      <c r="E51" s="20">
        <v>52.3</v>
      </c>
      <c r="F51" s="20">
        <v>28.15</v>
      </c>
      <c r="G51" s="20">
        <v>14.6</v>
      </c>
      <c r="H51" s="20">
        <v>31</v>
      </c>
      <c r="I51" s="20">
        <v>29.65</v>
      </c>
      <c r="J51" s="20">
        <v>27.3</v>
      </c>
      <c r="K51" s="20">
        <v>26.35</v>
      </c>
      <c r="L51" s="20">
        <v>49.4</v>
      </c>
      <c r="M51" s="20">
        <v>67.05</v>
      </c>
      <c r="N51" s="20">
        <v>53.8</v>
      </c>
      <c r="O51" s="20">
        <v>126.7</v>
      </c>
      <c r="P51" s="20">
        <v>102.15</v>
      </c>
      <c r="Q51" s="20">
        <v>103</v>
      </c>
      <c r="R51" s="20">
        <v>41.05</v>
      </c>
      <c r="S51" s="20">
        <v>115.35</v>
      </c>
      <c r="T51" s="20">
        <v>299.60000000000002</v>
      </c>
      <c r="U51" s="20">
        <v>284.2</v>
      </c>
      <c r="V51" s="20">
        <v>532.79999999999995</v>
      </c>
      <c r="W51" s="20">
        <v>641.6</v>
      </c>
      <c r="X51" s="23">
        <v>761.5</v>
      </c>
      <c r="Y51" s="20"/>
      <c r="Z51" s="20"/>
    </row>
    <row r="52" spans="1:26" x14ac:dyDescent="0.2">
      <c r="A52" s="10" t="s">
        <v>59</v>
      </c>
      <c r="B52" s="10" t="s">
        <v>105</v>
      </c>
      <c r="C52" s="14">
        <v>210</v>
      </c>
      <c r="D52" s="14">
        <v>127</v>
      </c>
      <c r="E52" s="14">
        <v>86.1</v>
      </c>
      <c r="F52" s="14">
        <v>66</v>
      </c>
      <c r="G52" s="14">
        <v>38.9</v>
      </c>
      <c r="H52" s="14">
        <v>49.5</v>
      </c>
      <c r="I52" s="14">
        <v>40.4</v>
      </c>
      <c r="J52" s="14">
        <v>33.85</v>
      </c>
      <c r="K52" s="14">
        <v>37.5</v>
      </c>
      <c r="L52" s="14">
        <v>60.85</v>
      </c>
      <c r="M52" s="14">
        <v>99</v>
      </c>
      <c r="N52" s="14">
        <v>77.849999999999994</v>
      </c>
      <c r="O52" s="14">
        <v>164.9</v>
      </c>
      <c r="P52" s="14">
        <v>152.80000000000001</v>
      </c>
      <c r="Q52" s="14">
        <v>154.55000000000001</v>
      </c>
      <c r="R52" s="14">
        <v>116.2</v>
      </c>
      <c r="S52" s="14">
        <v>135.5</v>
      </c>
      <c r="T52" s="14">
        <v>382.4</v>
      </c>
      <c r="U52" s="14">
        <v>363.8</v>
      </c>
      <c r="V52" s="14">
        <v>791.5</v>
      </c>
      <c r="W52" s="14">
        <v>740</v>
      </c>
      <c r="X52" s="17">
        <v>780</v>
      </c>
      <c r="Y52" s="14"/>
      <c r="Z52" s="14"/>
    </row>
    <row r="53" spans="1:26" x14ac:dyDescent="0.2">
      <c r="A53" s="10" t="s">
        <v>61</v>
      </c>
      <c r="B53" s="10" t="s">
        <v>106</v>
      </c>
      <c r="C53" s="14">
        <v>89</v>
      </c>
      <c r="D53" s="14">
        <v>53.25</v>
      </c>
      <c r="E53" s="14">
        <v>37.799999999999997</v>
      </c>
      <c r="F53" s="14">
        <v>23.5</v>
      </c>
      <c r="G53" s="14">
        <v>11</v>
      </c>
      <c r="H53" s="14">
        <v>14.5</v>
      </c>
      <c r="I53" s="14">
        <v>26.3</v>
      </c>
      <c r="J53" s="14">
        <v>20.100000000000001</v>
      </c>
      <c r="K53" s="14">
        <v>25.1</v>
      </c>
      <c r="L53" s="14">
        <v>16.100000000000001</v>
      </c>
      <c r="M53" s="14">
        <v>45.4</v>
      </c>
      <c r="N53" s="14">
        <v>40.1</v>
      </c>
      <c r="O53" s="14">
        <v>50.25</v>
      </c>
      <c r="P53" s="14">
        <v>92.35</v>
      </c>
      <c r="Q53" s="14">
        <v>81.900000000000006</v>
      </c>
      <c r="R53" s="14">
        <v>27.4</v>
      </c>
      <c r="S53" s="14">
        <v>38.1</v>
      </c>
      <c r="T53" s="14">
        <v>108</v>
      </c>
      <c r="U53" s="14">
        <v>233.8</v>
      </c>
      <c r="V53" s="14">
        <v>284.89999999999998</v>
      </c>
      <c r="W53" s="14">
        <v>450</v>
      </c>
      <c r="X53" s="17">
        <v>711.95001220703102</v>
      </c>
      <c r="Y53" s="14"/>
      <c r="Z53" s="14"/>
    </row>
    <row r="54" spans="1:26" x14ac:dyDescent="0.2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21"/>
      <c r="Y54" s="18"/>
      <c r="Z54" s="18"/>
    </row>
    <row r="55" spans="1:26" x14ac:dyDescent="0.2">
      <c r="A55" s="6" t="s">
        <v>107</v>
      </c>
      <c r="B55" s="6" t="s">
        <v>108</v>
      </c>
      <c r="C55" s="19">
        <v>2926.9304000000002</v>
      </c>
      <c r="D55" s="19">
        <v>2492.2957000000001</v>
      </c>
      <c r="E55" s="19">
        <v>1890.1533999999999</v>
      </c>
      <c r="F55" s="19">
        <v>1098.9854</v>
      </c>
      <c r="G55" s="19">
        <v>956.16880000000003</v>
      </c>
      <c r="H55" s="19">
        <v>1734.6167</v>
      </c>
      <c r="I55" s="19">
        <v>1304.9297999999999</v>
      </c>
      <c r="J55" s="19">
        <v>1710.8434999999999</v>
      </c>
      <c r="K55" s="19">
        <v>1373.9015999999999</v>
      </c>
      <c r="L55" s="19">
        <v>3882.6351</v>
      </c>
      <c r="M55" s="19">
        <v>4797.1090999999997</v>
      </c>
      <c r="N55" s="19">
        <v>3937.0843</v>
      </c>
      <c r="O55" s="19">
        <v>6840.8909999999996</v>
      </c>
      <c r="P55" s="19">
        <v>5986.7848000000004</v>
      </c>
      <c r="Q55" s="19">
        <v>5635.5217000000002</v>
      </c>
      <c r="R55" s="19">
        <v>1581.0302999999999</v>
      </c>
      <c r="S55" s="19">
        <v>4409.0259999999998</v>
      </c>
      <c r="T55" s="19">
        <v>13938.421399999999</v>
      </c>
      <c r="U55" s="19">
        <v>12880.901599999999</v>
      </c>
      <c r="V55" s="19">
        <v>26945.947199999999</v>
      </c>
      <c r="W55" s="19">
        <v>36086.7592</v>
      </c>
      <c r="X55" s="22">
        <v>42224.315223500002</v>
      </c>
      <c r="Y55" s="19"/>
      <c r="Z55" s="19"/>
    </row>
    <row r="56" spans="1:26" x14ac:dyDescent="0.2">
      <c r="A56" s="10" t="s">
        <v>57</v>
      </c>
      <c r="B56" s="10" t="s">
        <v>109</v>
      </c>
      <c r="C56" s="13">
        <v>5344.6328999999996</v>
      </c>
      <c r="D56" s="13">
        <v>2840.0095999999999</v>
      </c>
      <c r="E56" s="13">
        <v>2217.4679999999998</v>
      </c>
      <c r="F56" s="13">
        <v>1597.2257</v>
      </c>
      <c r="G56" s="13">
        <v>884.61159999999995</v>
      </c>
      <c r="H56" s="13">
        <v>1890.4948999999999</v>
      </c>
      <c r="I56" s="13">
        <v>1832.5806</v>
      </c>
      <c r="J56" s="13">
        <v>1209.6713</v>
      </c>
      <c r="K56" s="13">
        <v>1888.6809000000001</v>
      </c>
      <c r="L56" s="13">
        <v>1748.6070999999999</v>
      </c>
      <c r="M56" s="13">
        <v>5040.9317000000001</v>
      </c>
      <c r="N56" s="13">
        <v>4255.8276999999998</v>
      </c>
      <c r="O56" s="13">
        <v>6011.8294999999998</v>
      </c>
      <c r="P56" s="13">
        <v>6221.5658999999996</v>
      </c>
      <c r="Q56" s="13">
        <v>6474.0654999999997</v>
      </c>
      <c r="R56" s="13">
        <v>4189.7642999999998</v>
      </c>
      <c r="S56" s="13">
        <v>3690.4987000000001</v>
      </c>
      <c r="T56" s="13">
        <v>12792.347599999999</v>
      </c>
      <c r="U56" s="13">
        <v>14101.2803</v>
      </c>
      <c r="V56" s="13">
        <v>30037.125499999998</v>
      </c>
      <c r="W56" s="13">
        <v>31424.162</v>
      </c>
      <c r="X56" s="16"/>
      <c r="Y56" s="13"/>
      <c r="Z56" s="13"/>
    </row>
    <row r="57" spans="1:26" x14ac:dyDescent="0.2">
      <c r="A57" s="10" t="s">
        <v>59</v>
      </c>
      <c r="B57" s="10" t="s">
        <v>110</v>
      </c>
      <c r="C57" s="13">
        <v>6795.0788000000002</v>
      </c>
      <c r="D57" s="13">
        <v>3949.2575999999999</v>
      </c>
      <c r="E57" s="13">
        <v>3317.0610999999999</v>
      </c>
      <c r="F57" s="13">
        <v>2303.4394000000002</v>
      </c>
      <c r="G57" s="13">
        <v>1451.192</v>
      </c>
      <c r="H57" s="13">
        <v>2894.4486999999999</v>
      </c>
      <c r="I57" s="13">
        <v>2129.5758000000001</v>
      </c>
      <c r="J57" s="13">
        <v>1710.8425</v>
      </c>
      <c r="K57" s="13">
        <v>2182.4367999999999</v>
      </c>
      <c r="L57" s="13">
        <v>3882.6349</v>
      </c>
      <c r="M57" s="13">
        <v>6449.8783999999996</v>
      </c>
      <c r="N57" s="13">
        <v>5289.3357999999998</v>
      </c>
      <c r="O57" s="13">
        <v>10035.392599999999</v>
      </c>
      <c r="P57" s="13">
        <v>8005.1400999999996</v>
      </c>
      <c r="Q57" s="13">
        <v>8568.7656999999999</v>
      </c>
      <c r="R57" s="13">
        <v>6113.0113000000001</v>
      </c>
      <c r="S57" s="13">
        <v>6641.8306000000002</v>
      </c>
      <c r="T57" s="13">
        <v>19402.7899</v>
      </c>
      <c r="U57" s="13">
        <v>17216.004499999999</v>
      </c>
      <c r="V57" s="13">
        <v>41612.869100000004</v>
      </c>
      <c r="W57" s="13">
        <v>37251.458700000003</v>
      </c>
      <c r="X57" s="16"/>
      <c r="Y57" s="13"/>
      <c r="Z57" s="13"/>
    </row>
    <row r="58" spans="1:26" x14ac:dyDescent="0.2">
      <c r="A58" s="10" t="s">
        <v>61</v>
      </c>
      <c r="B58" s="10" t="s">
        <v>111</v>
      </c>
      <c r="C58" s="13">
        <v>2926.4703</v>
      </c>
      <c r="D58" s="13">
        <v>1492.7851000000001</v>
      </c>
      <c r="E58" s="13">
        <v>1521.5518</v>
      </c>
      <c r="F58" s="13">
        <v>746.01419999999996</v>
      </c>
      <c r="G58" s="13">
        <v>466.28160000000003</v>
      </c>
      <c r="H58" s="13">
        <v>731.93790000000001</v>
      </c>
      <c r="I58" s="13">
        <v>1304.9286999999999</v>
      </c>
      <c r="J58" s="13">
        <v>942.39049999999997</v>
      </c>
      <c r="K58" s="13">
        <v>1373.9005999999999</v>
      </c>
      <c r="L58" s="13">
        <v>863.98979999999995</v>
      </c>
      <c r="M58" s="13">
        <v>3732.3141000000001</v>
      </c>
      <c r="N58" s="13">
        <v>3364.64</v>
      </c>
      <c r="O58" s="13">
        <v>3763.1835999999998</v>
      </c>
      <c r="P58" s="13">
        <v>4960.4067999999997</v>
      </c>
      <c r="Q58" s="13">
        <v>4825.4827999999998</v>
      </c>
      <c r="R58" s="13">
        <v>1311.5878</v>
      </c>
      <c r="S58" s="13">
        <v>1483.7638999999999</v>
      </c>
      <c r="T58" s="13">
        <v>4081.857</v>
      </c>
      <c r="U58" s="13">
        <v>10360.196599999999</v>
      </c>
      <c r="V58" s="13">
        <v>13175.648300000001</v>
      </c>
      <c r="W58" s="13">
        <v>24028.197899999999</v>
      </c>
      <c r="X58" s="16"/>
      <c r="Y58" s="13"/>
      <c r="Z58" s="13"/>
    </row>
    <row r="59" spans="1:26" x14ac:dyDescent="0.2">
      <c r="A59" s="7" t="s">
        <v>112</v>
      </c>
      <c r="B59" s="7"/>
      <c r="C59" s="7" t="s">
        <v>3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70"/>
  <sheetViews>
    <sheetView workbookViewId="0">
      <selection activeCell="A2" sqref="A2:AA70"/>
    </sheetView>
  </sheetViews>
  <sheetFormatPr baseColWidth="10" defaultColWidth="8.83203125" defaultRowHeight="15" x14ac:dyDescent="0.2"/>
  <cols>
    <col min="1" max="1" width="35.1640625" customWidth="1"/>
    <col min="2" max="2" width="0" hidden="1" customWidth="1"/>
    <col min="3" max="27" width="11.83203125" customWidth="1"/>
  </cols>
  <sheetData>
    <row r="1" spans="1:2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" x14ac:dyDescent="0.2">
      <c r="A2" s="8" t="s">
        <v>113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">
      <c r="A4" s="3" t="s">
        <v>6</v>
      </c>
      <c r="B4" s="3"/>
      <c r="C4" s="4" t="s">
        <v>114</v>
      </c>
      <c r="D4" s="4" t="s">
        <v>4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115</v>
      </c>
      <c r="Z4" s="4" t="s">
        <v>28</v>
      </c>
      <c r="AA4" s="4" t="s">
        <v>29</v>
      </c>
    </row>
    <row r="5" spans="1:27" x14ac:dyDescent="0.2">
      <c r="A5" s="9" t="s">
        <v>30</v>
      </c>
      <c r="B5" s="9"/>
      <c r="C5" s="5" t="s">
        <v>116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36</v>
      </c>
      <c r="J5" s="5" t="s">
        <v>37</v>
      </c>
      <c r="K5" s="5" t="s">
        <v>38</v>
      </c>
      <c r="L5" s="5" t="s">
        <v>39</v>
      </c>
      <c r="M5" s="5" t="s">
        <v>40</v>
      </c>
      <c r="N5" s="5" t="s">
        <v>41</v>
      </c>
      <c r="O5" s="5" t="s">
        <v>42</v>
      </c>
      <c r="P5" s="5" t="s">
        <v>43</v>
      </c>
      <c r="Q5" s="5" t="s">
        <v>44</v>
      </c>
      <c r="R5" s="5" t="s">
        <v>45</v>
      </c>
      <c r="S5" s="5" t="s">
        <v>46</v>
      </c>
      <c r="T5" s="5" t="s">
        <v>47</v>
      </c>
      <c r="U5" s="5" t="s">
        <v>48</v>
      </c>
      <c r="V5" s="5" t="s">
        <v>49</v>
      </c>
      <c r="W5" s="5" t="s">
        <v>50</v>
      </c>
      <c r="X5" s="5" t="s">
        <v>51</v>
      </c>
      <c r="Y5" s="5" t="s">
        <v>117</v>
      </c>
      <c r="Z5" s="5" t="s">
        <v>53</v>
      </c>
      <c r="AA5" s="5" t="s">
        <v>54</v>
      </c>
    </row>
    <row r="6" spans="1:27" x14ac:dyDescent="0.2">
      <c r="A6" s="6" t="s">
        <v>0</v>
      </c>
      <c r="B6" s="6" t="s">
        <v>118</v>
      </c>
      <c r="C6" s="19" t="e" cm="1">
        <f t="array" aca="1" ref="C6" ca="1">_xll.BDH("DATA IN Equity","SALES_REV_TURN","FY 2004","FY 2004","Currency=INR","Period=FY","BEST_FPERIOD_OVERRIDE=FY","FILING_STATUS=MR","EQY_CONSOLIDATED=Y","SCALING_FORMAT=MLN","FA_ADJUSTED=GAAP","Sort=A","Dates=H","DateFormat=P","Fill=—","Direction=H","UseDPDF=Y")</f>
        <v>#NAME?</v>
      </c>
      <c r="D6" s="19" t="e" cm="1">
        <f t="array" aca="1" ref="D6" ca="1">_xll.BDH("DATA IN Equity","SALES_REV_TURN","FY 2005","FY 2005","Currency=INR","Period=FY","BEST_FPERIOD_OVERRIDE=FY","FILING_STATUS=MR","EQY_CONSOLIDATED=Y","SCALING_FORMAT=MLN","FA_ADJUSTED=GAAP","Sort=A","Dates=H","DateFormat=P","Fill=—","Direction=H","UseDPDF=Y")</f>
        <v>#NAME?</v>
      </c>
      <c r="E6" s="19" t="e" cm="1">
        <f t="array" aca="1" ref="E6" ca="1">_xll.BDH("DATA IN Equity","SALES_REV_TURN","FY 2006","FY 2006","Currency=INR","Period=FY","BEST_FPERIOD_OVERRIDE=FY","FILING_STATUS=MR","EQY_CONSOLIDATED=Y","SCALING_FORMAT=MLN","FA_ADJUSTED=GAAP","Sort=A","Dates=H","DateFormat=P","Fill=—","Direction=H","UseDPDF=Y")</f>
        <v>#NAME?</v>
      </c>
      <c r="F6" s="19" t="e" cm="1">
        <f t="array" aca="1" ref="F6" ca="1">_xll.BDH("DATA IN Equity","SALES_REV_TURN","FY 2007","FY 2007","Currency=INR","Period=FY","BEST_FPERIOD_OVERRIDE=FY","FILING_STATUS=MR","EQY_CONSOLIDATED=Y","SCALING_FORMAT=MLN","FA_ADJUSTED=GAAP","Sort=A","Dates=H","DateFormat=P","Fill=—","Direction=H","UseDPDF=Y")</f>
        <v>#NAME?</v>
      </c>
      <c r="G6" s="19" t="e" cm="1">
        <f t="array" aca="1" ref="G6" ca="1">_xll.BDH("DATA IN Equity","SALES_REV_TURN","FY 2008","FY 2008","Currency=INR","Period=FY","BEST_FPERIOD_OVERRIDE=FY","FILING_STATUS=MR","EQY_CONSOLIDATED=Y","SCALING_FORMAT=MLN","FA_ADJUSTED=GAAP","Sort=A","Dates=H","DateFormat=P","Fill=—","Direction=H","UseDPDF=Y")</f>
        <v>#NAME?</v>
      </c>
      <c r="H6" s="19" t="e" cm="1">
        <f t="array" aca="1" ref="H6" ca="1">_xll.BDH("DATA IN Equity","SALES_REV_TURN","FY 2009","FY 2009","Currency=INR","Period=FY","BEST_FPERIOD_OVERRIDE=FY","FILING_STATUS=MR","EQY_CONSOLIDATED=Y","SCALING_FORMAT=MLN","FA_ADJUSTED=GAAP","Sort=A","Dates=H","DateFormat=P","Fill=—","Direction=H","UseDPDF=Y")</f>
        <v>#NAME?</v>
      </c>
      <c r="I6" s="19" t="e" cm="1">
        <f t="array" aca="1" ref="I6" ca="1">_xll.BDH("DATA IN Equity","SALES_REV_TURN","FY 2010","FY 2010","Currency=INR","Period=FY","BEST_FPERIOD_OVERRIDE=FY","FILING_STATUS=MR","EQY_CONSOLIDATED=Y","SCALING_FORMAT=MLN","FA_ADJUSTED=GAAP","Sort=A","Dates=H","DateFormat=P","Fill=—","Direction=H","UseDPDF=Y")</f>
        <v>#NAME?</v>
      </c>
      <c r="J6" s="19" t="e" cm="1">
        <f t="array" aca="1" ref="J6" ca="1">_xll.BDH("DATA IN Equity","SALES_REV_TURN","FY 2011","FY 2011","Currency=INR","Period=FY","BEST_FPERIOD_OVERRIDE=FY","FILING_STATUS=MR","EQY_CONSOLIDATED=Y","SCALING_FORMAT=MLN","FA_ADJUSTED=GAAP","Sort=A","Dates=H","DateFormat=P","Fill=—","Direction=H","UseDPDF=Y")</f>
        <v>#NAME?</v>
      </c>
      <c r="K6" s="19" t="e" cm="1">
        <f t="array" aca="1" ref="K6" ca="1">_xll.BDH("DATA IN Equity","SALES_REV_TURN","FY 2012","FY 2012","Currency=INR","Period=FY","BEST_FPERIOD_OVERRIDE=FY","FILING_STATUS=MR","EQY_CONSOLIDATED=Y","SCALING_FORMAT=MLN","FA_ADJUSTED=GAAP","Sort=A","Dates=H","DateFormat=P","Fill=—","Direction=H","UseDPDF=Y")</f>
        <v>#NAME?</v>
      </c>
      <c r="L6" s="19" t="e" cm="1">
        <f t="array" aca="1" ref="L6" ca="1">_xll.BDH("DATA IN Equity","SALES_REV_TURN","FY 2013","FY 2013","Currency=INR","Period=FY","BEST_FPERIOD_OVERRIDE=FY","FILING_STATUS=MR","EQY_CONSOLIDATED=Y","SCALING_FORMAT=MLN","FA_ADJUSTED=GAAP","Sort=A","Dates=H","DateFormat=P","Fill=—","Direction=H","UseDPDF=Y")</f>
        <v>#NAME?</v>
      </c>
      <c r="M6" s="19" t="e" cm="1">
        <f t="array" aca="1" ref="M6" ca="1">_xll.BDH("DATA IN Equity","SALES_REV_TURN","FY 2014","FY 2014","Currency=INR","Period=FY","BEST_FPERIOD_OVERRIDE=FY","FILING_STATUS=MR","EQY_CONSOLIDATED=Y","SCALING_FORMAT=MLN","FA_ADJUSTED=GAAP","Sort=A","Dates=H","DateFormat=P","Fill=—","Direction=H","UseDPDF=Y")</f>
        <v>#NAME?</v>
      </c>
      <c r="N6" s="19" t="e" cm="1">
        <f t="array" aca="1" ref="N6" ca="1">_xll.BDH("DATA IN Equity","SALES_REV_TURN","FY 2015","FY 2015","Currency=INR","Period=FY","BEST_FPERIOD_OVERRIDE=FY","FILING_STATUS=MR","EQY_CONSOLIDATED=Y","SCALING_FORMAT=MLN","FA_ADJUSTED=GAAP","Sort=A","Dates=H","DateFormat=P","Fill=—","Direction=H","UseDPDF=Y")</f>
        <v>#NAME?</v>
      </c>
      <c r="O6" s="19" t="e" cm="1">
        <f t="array" aca="1" ref="O6" ca="1">_xll.BDH("DATA IN Equity","SALES_REV_TURN","FY 2016","FY 2016","Currency=INR","Period=FY","BEST_FPERIOD_OVERRIDE=FY","FILING_STATUS=MR","EQY_CONSOLIDATED=Y","SCALING_FORMAT=MLN","FA_ADJUSTED=GAAP","Sort=A","Dates=H","DateFormat=P","Fill=—","Direction=H","UseDPDF=Y")</f>
        <v>#NAME?</v>
      </c>
      <c r="P6" s="19" t="e" cm="1">
        <f t="array" aca="1" ref="P6" ca="1">_xll.BDH("DATA IN Equity","SALES_REV_TURN","FY 2017","FY 2017","Currency=INR","Period=FY","BEST_FPERIOD_OVERRIDE=FY","FILING_STATUS=MR","EQY_CONSOLIDATED=Y","SCALING_FORMAT=MLN","FA_ADJUSTED=GAAP","Sort=A","Dates=H","DateFormat=P","Fill=—","Direction=H","UseDPDF=Y")</f>
        <v>#NAME?</v>
      </c>
      <c r="Q6" s="19" t="e" cm="1">
        <f t="array" aca="1" ref="Q6" ca="1">_xll.BDH("DATA IN Equity","SALES_REV_TURN","FY 2018","FY 2018","Currency=INR","Period=FY","BEST_FPERIOD_OVERRIDE=FY","FILING_STATUS=MR","EQY_CONSOLIDATED=Y","SCALING_FORMAT=MLN","FA_ADJUSTED=GAAP","Sort=A","Dates=H","DateFormat=P","Fill=—","Direction=H","UseDPDF=Y")</f>
        <v>#NAME?</v>
      </c>
      <c r="R6" s="19" t="e" cm="1">
        <f t="array" aca="1" ref="R6" ca="1">_xll.BDH("DATA IN Equity","SALES_REV_TURN","FY 2019","FY 2019","Currency=INR","Period=FY","BEST_FPERIOD_OVERRIDE=FY","FILING_STATUS=MR","EQY_CONSOLIDATED=Y","SCALING_FORMAT=MLN","FA_ADJUSTED=GAAP","Sort=A","Dates=H","DateFormat=P","Fill=—","Direction=H","UseDPDF=Y")</f>
        <v>#NAME?</v>
      </c>
      <c r="S6" s="19" t="e" cm="1">
        <f t="array" aca="1" ref="S6" ca="1">_xll.BDH("DATA IN Equity","SALES_REV_TURN","FY 2020","FY 2020","Currency=INR","Period=FY","BEST_FPERIOD_OVERRIDE=FY","FILING_STATUS=MR","EQY_CONSOLIDATED=Y","SCALING_FORMAT=MLN","FA_ADJUSTED=GAAP","Sort=A","Dates=H","DateFormat=P","Fill=—","Direction=H","UseDPDF=Y")</f>
        <v>#NAME?</v>
      </c>
      <c r="T6" s="19" t="e" cm="1">
        <f t="array" aca="1" ref="T6" ca="1">_xll.BDH("DATA IN Equity","SALES_REV_TURN","FY 2021","FY 2021","Currency=INR","Period=FY","BEST_FPERIOD_OVERRIDE=FY","FILING_STATUS=MR","EQY_CONSOLIDATED=Y","SCALING_FORMAT=MLN","FA_ADJUSTED=GAAP","Sort=A","Dates=H","DateFormat=P","Fill=—","Direction=H","UseDPDF=Y")</f>
        <v>#NAME?</v>
      </c>
      <c r="U6" s="19" t="e" cm="1">
        <f t="array" aca="1" ref="U6" ca="1">_xll.BDH("DATA IN Equity","SALES_REV_TURN","FY 2022","FY 2022","Currency=INR","Period=FY","BEST_FPERIOD_OVERRIDE=FY","FILING_STATUS=MR","EQY_CONSOLIDATED=Y","SCALING_FORMAT=MLN","FA_ADJUSTED=GAAP","Sort=A","Dates=H","DateFormat=P","Fill=—","Direction=H","UseDPDF=Y")</f>
        <v>#NAME?</v>
      </c>
      <c r="V6" s="19" t="e" cm="1">
        <f t="array" aca="1" ref="V6" ca="1">_xll.BDH("DATA IN Equity","SALES_REV_TURN","FY 2023","FY 2023","Currency=INR","Period=FY","BEST_FPERIOD_OVERRIDE=FY","FILING_STATUS=MR","EQY_CONSOLIDATED=Y","SCALING_FORMAT=MLN","FA_ADJUSTED=GAAP","Sort=A","Dates=H","DateFormat=P","Fill=—","Direction=H","UseDPDF=Y")</f>
        <v>#NAME?</v>
      </c>
      <c r="W6" s="19" t="e" cm="1">
        <f t="array" aca="1" ref="W6" ca="1">_xll.BDH("DATA IN Equity","SALES_REV_TURN","FY 2024","FY 2024","Currency=INR","Period=FY","BEST_FPERIOD_OVERRIDE=FY","FILING_STATUS=MR","EQY_CONSOLIDATED=Y","SCALING_FORMAT=MLN","FA_ADJUSTED=GAAP","Sort=A","Dates=H","DateFormat=P","Fill=—","Direction=H","UseDPDF=Y")</f>
        <v>#NAME?</v>
      </c>
      <c r="X6" s="19" t="e" cm="1">
        <f t="array" aca="1" ref="X6" ca="1">_xll.BDH("DATA IN Equity","SALES_REV_TURN","FY 2025","FY 2025","Currency=INR","Period=FY","BEST_FPERIOD_OVERRIDE=FY","FILING_STATUS=MR","EQY_CONSOLIDATED=Y","SCALING_FORMAT=MLN","FA_ADJUSTED=GAAP","Sort=A","Dates=H","DateFormat=P","Fill=—","Direction=H","UseDPDF=Y")</f>
        <v>#NAME?</v>
      </c>
      <c r="Y6" s="22">
        <v>19650.400000000001</v>
      </c>
      <c r="Z6" s="19">
        <v>20021</v>
      </c>
      <c r="AA6" s="19">
        <v>21867</v>
      </c>
    </row>
    <row r="7" spans="1:27" x14ac:dyDescent="0.2">
      <c r="A7" s="10" t="s">
        <v>119</v>
      </c>
      <c r="B7" s="10" t="s">
        <v>120</v>
      </c>
      <c r="C7" s="13" t="e" cm="1">
        <f t="array" aca="1" ref="C7" ca="1">_xll.BDH("DATA IN Equity","IS_SALES_AND_SERVICES_REVENUES","FY 2004","FY 2004","Currency=INR","Period=FY","BEST_FPERIOD_OVERRIDE=FY","FILING_STATUS=MR","EQY_CONSOLIDATED=Y","SCALING_FORMAT=MLN","FA_ADJUSTED=GAAP","Sort=A","Dates=H","DateFormat=P","Fill=—","Direction=H","UseDPDF=Y")</f>
        <v>#NAME?</v>
      </c>
      <c r="D7" s="13" t="e" cm="1">
        <f t="array" aca="1" ref="D7" ca="1">_xll.BDH("DATA IN Equity","IS_SALES_AND_SERVICES_REVENUES","FY 2005","FY 2005","Currency=INR","Period=FY","BEST_FPERIOD_OVERRIDE=FY","FILING_STATUS=MR","EQY_CONSOLIDATED=Y","SCALING_FORMAT=MLN","FA_ADJUSTED=GAAP","Sort=A","Dates=H","DateFormat=P","Fill=—","Direction=H","UseDPDF=Y")</f>
        <v>#NAME?</v>
      </c>
      <c r="E7" s="13" t="e" cm="1">
        <f t="array" aca="1" ref="E7" ca="1">_xll.BDH("DATA IN Equity","IS_SALES_AND_SERVICES_REVENUES","FY 2006","FY 2006","Currency=INR","Period=FY","BEST_FPERIOD_OVERRIDE=FY","FILING_STATUS=MR","EQY_CONSOLIDATED=Y","SCALING_FORMAT=MLN","FA_ADJUSTED=GAAP","Sort=A","Dates=H","DateFormat=P","Fill=—","Direction=H","UseDPDF=Y")</f>
        <v>#NAME?</v>
      </c>
      <c r="F7" s="13" t="e" cm="1">
        <f t="array" aca="1" ref="F7" ca="1">_xll.BDH("DATA IN Equity","IS_SALES_AND_SERVICES_REVENUES","FY 2007","FY 2007","Currency=INR","Period=FY","BEST_FPERIOD_OVERRIDE=FY","FILING_STATUS=MR","EQY_CONSOLIDATED=Y","SCALING_FORMAT=MLN","FA_ADJUSTED=GAAP","Sort=A","Dates=H","DateFormat=P","Fill=—","Direction=H","UseDPDF=Y")</f>
        <v>#NAME?</v>
      </c>
      <c r="G7" s="13" t="e" cm="1">
        <f t="array" aca="1" ref="G7" ca="1">_xll.BDH("DATA IN Equity","IS_SALES_AND_SERVICES_REVENUES","FY 2008","FY 2008","Currency=INR","Period=FY","BEST_FPERIOD_OVERRIDE=FY","FILING_STATUS=MR","EQY_CONSOLIDATED=Y","SCALING_FORMAT=MLN","FA_ADJUSTED=GAAP","Sort=A","Dates=H","DateFormat=P","Fill=—","Direction=H","UseDPDF=Y")</f>
        <v>#NAME?</v>
      </c>
      <c r="H7" s="13" t="e" cm="1">
        <f t="array" aca="1" ref="H7" ca="1">_xll.BDH("DATA IN Equity","IS_SALES_AND_SERVICES_REVENUES","FY 2009","FY 2009","Currency=INR","Period=FY","BEST_FPERIOD_OVERRIDE=FY","FILING_STATUS=MR","EQY_CONSOLIDATED=Y","SCALING_FORMAT=MLN","FA_ADJUSTED=GAAP","Sort=A","Dates=H","DateFormat=P","Fill=—","Direction=H","UseDPDF=Y")</f>
        <v>#NAME?</v>
      </c>
      <c r="I7" s="13" t="e" cm="1">
        <f t="array" aca="1" ref="I7" ca="1">_xll.BDH("DATA IN Equity","IS_SALES_AND_SERVICES_REVENUES","FY 2010","FY 2010","Currency=INR","Period=FY","BEST_FPERIOD_OVERRIDE=FY","FILING_STATUS=MR","EQY_CONSOLIDATED=Y","SCALING_FORMAT=MLN","FA_ADJUSTED=GAAP","Sort=A","Dates=H","DateFormat=P","Fill=—","Direction=H","UseDPDF=Y")</f>
        <v>#NAME?</v>
      </c>
      <c r="J7" s="13" t="e" cm="1">
        <f t="array" aca="1" ref="J7" ca="1">_xll.BDH("DATA IN Equity","IS_SALES_AND_SERVICES_REVENUES","FY 2011","FY 2011","Currency=INR","Period=FY","BEST_FPERIOD_OVERRIDE=FY","FILING_STATUS=MR","EQY_CONSOLIDATED=Y","SCALING_FORMAT=MLN","FA_ADJUSTED=GAAP","Sort=A","Dates=H","DateFormat=P","Fill=—","Direction=H","UseDPDF=Y")</f>
        <v>#NAME?</v>
      </c>
      <c r="K7" s="13" t="e" cm="1">
        <f t="array" aca="1" ref="K7" ca="1">_xll.BDH("DATA IN Equity","IS_SALES_AND_SERVICES_REVENUES","FY 2012","FY 2012","Currency=INR","Period=FY","BEST_FPERIOD_OVERRIDE=FY","FILING_STATUS=MR","EQY_CONSOLIDATED=Y","SCALING_FORMAT=MLN","FA_ADJUSTED=GAAP","Sort=A","Dates=H","DateFormat=P","Fill=—","Direction=H","UseDPDF=Y")</f>
        <v>#NAME?</v>
      </c>
      <c r="L7" s="13" t="e" cm="1">
        <f t="array" aca="1" ref="L7" ca="1">_xll.BDH("DATA IN Equity","IS_SALES_AND_SERVICES_REVENUES","FY 2013","FY 2013","Currency=INR","Period=FY","BEST_FPERIOD_OVERRIDE=FY","FILING_STATUS=MR","EQY_CONSOLIDATED=Y","SCALING_FORMAT=MLN","FA_ADJUSTED=GAAP","Sort=A","Dates=H","DateFormat=P","Fill=—","Direction=H","UseDPDF=Y")</f>
        <v>#NAME?</v>
      </c>
      <c r="M7" s="13" t="e" cm="1">
        <f t="array" aca="1" ref="M7" ca="1">_xll.BDH("DATA IN Equity","IS_SALES_AND_SERVICES_REVENUES","FY 2014","FY 2014","Currency=INR","Period=FY","BEST_FPERIOD_OVERRIDE=FY","FILING_STATUS=MR","EQY_CONSOLIDATED=Y","SCALING_FORMAT=MLN","FA_ADJUSTED=GAAP","Sort=A","Dates=H","DateFormat=P","Fill=—","Direction=H","UseDPDF=Y")</f>
        <v>#NAME?</v>
      </c>
      <c r="N7" s="13" t="e" cm="1">
        <f t="array" aca="1" ref="N7" ca="1">_xll.BDH("DATA IN Equity","IS_SALES_AND_SERVICES_REVENUES","FY 2015","FY 2015","Currency=INR","Period=FY","BEST_FPERIOD_OVERRIDE=FY","FILING_STATUS=MR","EQY_CONSOLIDATED=Y","SCALING_FORMAT=MLN","FA_ADJUSTED=GAAP","Sort=A","Dates=H","DateFormat=P","Fill=—","Direction=H","UseDPDF=Y")</f>
        <v>#NAME?</v>
      </c>
      <c r="O7" s="13" t="e" cm="1">
        <f t="array" aca="1" ref="O7" ca="1">_xll.BDH("DATA IN Equity","IS_SALES_AND_SERVICES_REVENUES","FY 2016","FY 2016","Currency=INR","Period=FY","BEST_FPERIOD_OVERRIDE=FY","FILING_STATUS=MR","EQY_CONSOLIDATED=Y","SCALING_FORMAT=MLN","FA_ADJUSTED=GAAP","Sort=A","Dates=H","DateFormat=P","Fill=—","Direction=H","UseDPDF=Y")</f>
        <v>#NAME?</v>
      </c>
      <c r="P7" s="13" t="e" cm="1">
        <f t="array" aca="1" ref="P7" ca="1">_xll.BDH("DATA IN Equity","IS_SALES_AND_SERVICES_REVENUES","FY 2017","FY 2017","Currency=INR","Period=FY","BEST_FPERIOD_OVERRIDE=FY","FILING_STATUS=MR","EQY_CONSOLIDATED=Y","SCALING_FORMAT=MLN","FA_ADJUSTED=GAAP","Sort=A","Dates=H","DateFormat=P","Fill=—","Direction=H","UseDPDF=Y")</f>
        <v>#NAME?</v>
      </c>
      <c r="Q7" s="13" t="e" cm="1">
        <f t="array" aca="1" ref="Q7" ca="1">_xll.BDH("DATA IN Equity","IS_SALES_AND_SERVICES_REVENUES","FY 2018","FY 2018","Currency=INR","Period=FY","BEST_FPERIOD_OVERRIDE=FY","FILING_STATUS=MR","EQY_CONSOLIDATED=Y","SCALING_FORMAT=MLN","FA_ADJUSTED=GAAP","Sort=A","Dates=H","DateFormat=P","Fill=—","Direction=H","UseDPDF=Y")</f>
        <v>#NAME?</v>
      </c>
      <c r="R7" s="13" t="e" cm="1">
        <f t="array" aca="1" ref="R7" ca="1">_xll.BDH("DATA IN Equity","IS_SALES_AND_SERVICES_REVENUES","FY 2019","FY 2019","Currency=INR","Period=FY","BEST_FPERIOD_OVERRIDE=FY","FILING_STATUS=MR","EQY_CONSOLIDATED=Y","SCALING_FORMAT=MLN","FA_ADJUSTED=GAAP","Sort=A","Dates=H","DateFormat=P","Fill=—","Direction=H","UseDPDF=Y")</f>
        <v>#NAME?</v>
      </c>
      <c r="S7" s="13" t="e" cm="1">
        <f t="array" aca="1" ref="S7" ca="1">_xll.BDH("DATA IN Equity","IS_SALES_AND_SERVICES_REVENUES","FY 2020","FY 2020","Currency=INR","Period=FY","BEST_FPERIOD_OVERRIDE=FY","FILING_STATUS=MR","EQY_CONSOLIDATED=Y","SCALING_FORMAT=MLN","FA_ADJUSTED=GAAP","Sort=A","Dates=H","DateFormat=P","Fill=—","Direction=H","UseDPDF=Y")</f>
        <v>#NAME?</v>
      </c>
      <c r="T7" s="13" t="e" cm="1">
        <f t="array" aca="1" ref="T7" ca="1">_xll.BDH("DATA IN Equity","IS_SALES_AND_SERVICES_REVENUES","FY 2021","FY 2021","Currency=INR","Period=FY","BEST_FPERIOD_OVERRIDE=FY","FILING_STATUS=MR","EQY_CONSOLIDATED=Y","SCALING_FORMAT=MLN","FA_ADJUSTED=GAAP","Sort=A","Dates=H","DateFormat=P","Fill=—","Direction=H","UseDPDF=Y")</f>
        <v>#NAME?</v>
      </c>
      <c r="U7" s="13" t="e" cm="1">
        <f t="array" aca="1" ref="U7" ca="1">_xll.BDH("DATA IN Equity","IS_SALES_AND_SERVICES_REVENUES","FY 2022","FY 2022","Currency=INR","Period=FY","BEST_FPERIOD_OVERRIDE=FY","FILING_STATUS=MR","EQY_CONSOLIDATED=Y","SCALING_FORMAT=MLN","FA_ADJUSTED=GAAP","Sort=A","Dates=H","DateFormat=P","Fill=—","Direction=H","UseDPDF=Y")</f>
        <v>#NAME?</v>
      </c>
      <c r="V7" s="13" t="e" cm="1">
        <f t="array" aca="1" ref="V7" ca="1">_xll.BDH("DATA IN Equity","IS_SALES_AND_SERVICES_REVENUES","FY 2023","FY 2023","Currency=INR","Period=FY","BEST_FPERIOD_OVERRIDE=FY","FILING_STATUS=MR","EQY_CONSOLIDATED=Y","SCALING_FORMAT=MLN","FA_ADJUSTED=GAAP","Sort=A","Dates=H","DateFormat=P","Fill=—","Direction=H","UseDPDF=Y")</f>
        <v>#NAME?</v>
      </c>
      <c r="W7" s="13" t="e" cm="1">
        <f t="array" aca="1" ref="W7" ca="1">_xll.BDH("DATA IN Equity","IS_SALES_AND_SERVICES_REVENUES","FY 2024","FY 2024","Currency=INR","Period=FY","BEST_FPERIOD_OVERRIDE=FY","FILING_STATUS=MR","EQY_CONSOLIDATED=Y","SCALING_FORMAT=MLN","FA_ADJUSTED=GAAP","Sort=A","Dates=H","DateFormat=P","Fill=—","Direction=H","UseDPDF=Y")</f>
        <v>#NAME?</v>
      </c>
      <c r="X7" s="13" t="e" cm="1">
        <f t="array" aca="1" ref="X7" ca="1">_xll.BDH("DATA IN Equity","IS_SALES_AND_SERVICES_REVENUES","FY 2025","FY 2025","Currency=INR","Period=FY","BEST_FPERIOD_OVERRIDE=FY","FILING_STATUS=MR","EQY_CONSOLIDATED=Y","SCALING_FORMAT=MLN","FA_ADJUSTED=GAAP","Sort=A","Dates=H","DateFormat=P","Fill=—","Direction=H","UseDPDF=Y")</f>
        <v>#NAME?</v>
      </c>
      <c r="Y7" s="16">
        <v>19650.400000000001</v>
      </c>
      <c r="Z7" s="13"/>
      <c r="AA7" s="13"/>
    </row>
    <row r="8" spans="1:27" x14ac:dyDescent="0.2">
      <c r="A8" s="6" t="s">
        <v>1</v>
      </c>
      <c r="B8" s="6" t="s">
        <v>121</v>
      </c>
      <c r="C8" s="19" t="e" cm="1">
        <f t="array" aca="1" ref="C8" ca="1">_xll.BDH("DATA IN Equity","GROSS_PROFIT","FY 2004","FY 2004","Currency=INR","Period=FY","BEST_FPERIOD_OVERRIDE=FY","FILING_STATUS=MR","EQY_CONSOLIDATED=Y","SCALING_FORMAT=MLN","FA_ADJUSTED=GAAP","Sort=A","Dates=H","DateFormat=P","Fill=—","Direction=H","UseDPDF=Y")</f>
        <v>#NAME?</v>
      </c>
      <c r="D8" s="19" t="e" cm="1">
        <f t="array" aca="1" ref="D8" ca="1">_xll.BDH("DATA IN Equity","GROSS_PROFIT","FY 2005","FY 2005","Currency=INR","Period=FY","BEST_FPERIOD_OVERRIDE=FY","FILING_STATUS=MR","EQY_CONSOLIDATED=Y","SCALING_FORMAT=MLN","FA_ADJUSTED=GAAP","Sort=A","Dates=H","DateFormat=P","Fill=—","Direction=H","UseDPDF=Y")</f>
        <v>#NAME?</v>
      </c>
      <c r="E8" s="19" t="e" cm="1">
        <f t="array" aca="1" ref="E8" ca="1">_xll.BDH("DATA IN Equity","GROSS_PROFIT","FY 2006","FY 2006","Currency=INR","Period=FY","BEST_FPERIOD_OVERRIDE=FY","FILING_STATUS=MR","EQY_CONSOLIDATED=Y","SCALING_FORMAT=MLN","FA_ADJUSTED=GAAP","Sort=A","Dates=H","DateFormat=P","Fill=—","Direction=H","UseDPDF=Y")</f>
        <v>#NAME?</v>
      </c>
      <c r="F8" s="19" t="e" cm="1">
        <f t="array" aca="1" ref="F8" ca="1">_xll.BDH("DATA IN Equity","GROSS_PROFIT","FY 2007","FY 2007","Currency=INR","Period=FY","BEST_FPERIOD_OVERRIDE=FY","FILING_STATUS=MR","EQY_CONSOLIDATED=Y","SCALING_FORMAT=MLN","FA_ADJUSTED=GAAP","Sort=A","Dates=H","DateFormat=P","Fill=—","Direction=H","UseDPDF=Y")</f>
        <v>#NAME?</v>
      </c>
      <c r="G8" s="19" t="e" cm="1">
        <f t="array" aca="1" ref="G8" ca="1">_xll.BDH("DATA IN Equity","GROSS_PROFIT","FY 2008","FY 2008","Currency=INR","Period=FY","BEST_FPERIOD_OVERRIDE=FY","FILING_STATUS=MR","EQY_CONSOLIDATED=Y","SCALING_FORMAT=MLN","FA_ADJUSTED=GAAP","Sort=A","Dates=H","DateFormat=P","Fill=—","Direction=H","UseDPDF=Y")</f>
        <v>#NAME?</v>
      </c>
      <c r="H8" s="19" t="e" cm="1">
        <f t="array" aca="1" ref="H8" ca="1">_xll.BDH("DATA IN Equity","GROSS_PROFIT","FY 2009","FY 2009","Currency=INR","Period=FY","BEST_FPERIOD_OVERRIDE=FY","FILING_STATUS=MR","EQY_CONSOLIDATED=Y","SCALING_FORMAT=MLN","FA_ADJUSTED=GAAP","Sort=A","Dates=H","DateFormat=P","Fill=—","Direction=H","UseDPDF=Y")</f>
        <v>#NAME?</v>
      </c>
      <c r="I8" s="19" t="e" cm="1">
        <f t="array" aca="1" ref="I8" ca="1">_xll.BDH("DATA IN Equity","GROSS_PROFIT","FY 2010","FY 2010","Currency=INR","Period=FY","BEST_FPERIOD_OVERRIDE=FY","FILING_STATUS=MR","EQY_CONSOLIDATED=Y","SCALING_FORMAT=MLN","FA_ADJUSTED=GAAP","Sort=A","Dates=H","DateFormat=P","Fill=—","Direction=H","UseDPDF=Y")</f>
        <v>#NAME?</v>
      </c>
      <c r="J8" s="19" t="e" cm="1">
        <f t="array" aca="1" ref="J8" ca="1">_xll.BDH("DATA IN Equity","GROSS_PROFIT","FY 2011","FY 2011","Currency=INR","Period=FY","BEST_FPERIOD_OVERRIDE=FY","FILING_STATUS=MR","EQY_CONSOLIDATED=Y","SCALING_FORMAT=MLN","FA_ADJUSTED=GAAP","Sort=A","Dates=H","DateFormat=P","Fill=—","Direction=H","UseDPDF=Y")</f>
        <v>#NAME?</v>
      </c>
      <c r="K8" s="19" t="e" cm="1">
        <f t="array" aca="1" ref="K8" ca="1">_xll.BDH("DATA IN Equity","GROSS_PROFIT","FY 2012","FY 2012","Currency=INR","Period=FY","BEST_FPERIOD_OVERRIDE=FY","FILING_STATUS=MR","EQY_CONSOLIDATED=Y","SCALING_FORMAT=MLN","FA_ADJUSTED=GAAP","Sort=A","Dates=H","DateFormat=P","Fill=—","Direction=H","UseDPDF=Y")</f>
        <v>#NAME?</v>
      </c>
      <c r="L8" s="19" t="e" cm="1">
        <f t="array" aca="1" ref="L8" ca="1">_xll.BDH("DATA IN Equity","GROSS_PROFIT","FY 2013","FY 2013","Currency=INR","Period=FY","BEST_FPERIOD_OVERRIDE=FY","FILING_STATUS=MR","EQY_CONSOLIDATED=Y","SCALING_FORMAT=MLN","FA_ADJUSTED=GAAP","Sort=A","Dates=H","DateFormat=P","Fill=—","Direction=H","UseDPDF=Y")</f>
        <v>#NAME?</v>
      </c>
      <c r="M8" s="19" t="e" cm="1">
        <f t="array" aca="1" ref="M8" ca="1">_xll.BDH("DATA IN Equity","GROSS_PROFIT","FY 2014","FY 2014","Currency=INR","Period=FY","BEST_FPERIOD_OVERRIDE=FY","FILING_STATUS=MR","EQY_CONSOLIDATED=Y","SCALING_FORMAT=MLN","FA_ADJUSTED=GAAP","Sort=A","Dates=H","DateFormat=P","Fill=—","Direction=H","UseDPDF=Y")</f>
        <v>#NAME?</v>
      </c>
      <c r="N8" s="19" t="e" cm="1">
        <f t="array" aca="1" ref="N8" ca="1">_xll.BDH("DATA IN Equity","GROSS_PROFIT","FY 2015","FY 2015","Currency=INR","Period=FY","BEST_FPERIOD_OVERRIDE=FY","FILING_STATUS=MR","EQY_CONSOLIDATED=Y","SCALING_FORMAT=MLN","FA_ADJUSTED=GAAP","Sort=A","Dates=H","DateFormat=P","Fill=—","Direction=H","UseDPDF=Y")</f>
        <v>#NAME?</v>
      </c>
      <c r="O8" s="19" t="e" cm="1">
        <f t="array" aca="1" ref="O8" ca="1">_xll.BDH("DATA IN Equity","GROSS_PROFIT","FY 2016","FY 2016","Currency=INR","Period=FY","BEST_FPERIOD_OVERRIDE=FY","FILING_STATUS=MR","EQY_CONSOLIDATED=Y","SCALING_FORMAT=MLN","FA_ADJUSTED=GAAP","Sort=A","Dates=H","DateFormat=P","Fill=—","Direction=H","UseDPDF=Y")</f>
        <v>#NAME?</v>
      </c>
      <c r="P8" s="19" t="e" cm="1">
        <f t="array" aca="1" ref="P8" ca="1">_xll.BDH("DATA IN Equity","GROSS_PROFIT","FY 2017","FY 2017","Currency=INR","Period=FY","BEST_FPERIOD_OVERRIDE=FY","FILING_STATUS=MR","EQY_CONSOLIDATED=Y","SCALING_FORMAT=MLN","FA_ADJUSTED=GAAP","Sort=A","Dates=H","DateFormat=P","Fill=—","Direction=H","UseDPDF=Y")</f>
        <v>#NAME?</v>
      </c>
      <c r="Q8" s="19" t="e" cm="1">
        <f t="array" aca="1" ref="Q8" ca="1">_xll.BDH("DATA IN Equity","GROSS_PROFIT","FY 2018","FY 2018","Currency=INR","Period=FY","BEST_FPERIOD_OVERRIDE=FY","FILING_STATUS=MR","EQY_CONSOLIDATED=Y","SCALING_FORMAT=MLN","FA_ADJUSTED=GAAP","Sort=A","Dates=H","DateFormat=P","Fill=—","Direction=H","UseDPDF=Y")</f>
        <v>#NAME?</v>
      </c>
      <c r="R8" s="19" t="e" cm="1">
        <f t="array" aca="1" ref="R8" ca="1">_xll.BDH("DATA IN Equity","GROSS_PROFIT","FY 2019","FY 2019","Currency=INR","Period=FY","BEST_FPERIOD_OVERRIDE=FY","FILING_STATUS=MR","EQY_CONSOLIDATED=Y","SCALING_FORMAT=MLN","FA_ADJUSTED=GAAP","Sort=A","Dates=H","DateFormat=P","Fill=—","Direction=H","UseDPDF=Y")</f>
        <v>#NAME?</v>
      </c>
      <c r="S8" s="19" t="e" cm="1">
        <f t="array" aca="1" ref="S8" ca="1">_xll.BDH("DATA IN Equity","GROSS_PROFIT","FY 2020","FY 2020","Currency=INR","Period=FY","BEST_FPERIOD_OVERRIDE=FY","FILING_STATUS=MR","EQY_CONSOLIDATED=Y","SCALING_FORMAT=MLN","FA_ADJUSTED=GAAP","Sort=A","Dates=H","DateFormat=P","Fill=—","Direction=H","UseDPDF=Y")</f>
        <v>#NAME?</v>
      </c>
      <c r="T8" s="19" t="e" cm="1">
        <f t="array" aca="1" ref="T8" ca="1">_xll.BDH("DATA IN Equity","GROSS_PROFIT","FY 2021","FY 2021","Currency=INR","Period=FY","BEST_FPERIOD_OVERRIDE=FY","FILING_STATUS=MR","EQY_CONSOLIDATED=Y","SCALING_FORMAT=MLN","FA_ADJUSTED=GAAP","Sort=A","Dates=H","DateFormat=P","Fill=—","Direction=H","UseDPDF=Y")</f>
        <v>#NAME?</v>
      </c>
      <c r="U8" s="19" t="e" cm="1">
        <f t="array" aca="1" ref="U8" ca="1">_xll.BDH("DATA IN Equity","GROSS_PROFIT","FY 2022","FY 2022","Currency=INR","Period=FY","BEST_FPERIOD_OVERRIDE=FY","FILING_STATUS=MR","EQY_CONSOLIDATED=Y","SCALING_FORMAT=MLN","FA_ADJUSTED=GAAP","Sort=A","Dates=H","DateFormat=P","Fill=—","Direction=H","UseDPDF=Y")</f>
        <v>#NAME?</v>
      </c>
      <c r="V8" s="19" t="e" cm="1">
        <f t="array" aca="1" ref="V8" ca="1">_xll.BDH("DATA IN Equity","GROSS_PROFIT","FY 2023","FY 2023","Currency=INR","Period=FY","BEST_FPERIOD_OVERRIDE=FY","FILING_STATUS=MR","EQY_CONSOLIDATED=Y","SCALING_FORMAT=MLN","FA_ADJUSTED=GAAP","Sort=A","Dates=H","DateFormat=P","Fill=—","Direction=H","UseDPDF=Y")</f>
        <v>#NAME?</v>
      </c>
      <c r="W8" s="19" t="e" cm="1">
        <f t="array" aca="1" ref="W8" ca="1">_xll.BDH("DATA IN Equity","GROSS_PROFIT","FY 2024","FY 2024","Currency=INR","Period=FY","BEST_FPERIOD_OVERRIDE=FY","FILING_STATUS=MR","EQY_CONSOLIDATED=Y","SCALING_FORMAT=MLN","FA_ADJUSTED=GAAP","Sort=A","Dates=H","DateFormat=P","Fill=—","Direction=H","UseDPDF=Y")</f>
        <v>#NAME?</v>
      </c>
      <c r="X8" s="19" t="e" cm="1">
        <f t="array" aca="1" ref="X8" ca="1">_xll.BDH("DATA IN Equity","GROSS_PROFIT","FY 2025","FY 2025","Currency=INR","Period=FY","BEST_FPERIOD_OVERRIDE=FY","FILING_STATUS=MR","EQY_CONSOLIDATED=Y","SCALING_FORMAT=MLN","FA_ADJUSTED=GAAP","Sort=A","Dates=H","DateFormat=P","Fill=—","Direction=H","UseDPDF=Y")</f>
        <v>#NAME?</v>
      </c>
      <c r="Y8" s="22"/>
      <c r="Z8" s="19">
        <v>7507.875</v>
      </c>
      <c r="AA8" s="19">
        <v>8265.7260000000006</v>
      </c>
    </row>
    <row r="9" spans="1:27" x14ac:dyDescent="0.2">
      <c r="A9" s="10" t="s">
        <v>122</v>
      </c>
      <c r="B9" s="10" t="s">
        <v>123</v>
      </c>
      <c r="C9" s="13" t="e" cm="1">
        <f t="array" aca="1" ref="C9" ca="1">_xll.BDH("DATA IN Equity","IS_OTHER_OPER_INC","FY 2004","FY 2004","Currency=INR","Period=FY","BEST_FPERIOD_OVERRIDE=FY","FILING_STATUS=MR","EQY_CONSOLIDATED=Y","SCALING_FORMAT=MLN","FA_ADJUSTED=GAAP","Sort=A","Dates=H","DateFormat=P","Fill=—","Direction=H","UseDPDF=Y")</f>
        <v>#NAME?</v>
      </c>
      <c r="D9" s="13" t="e" cm="1">
        <f t="array" aca="1" ref="D9" ca="1">_xll.BDH("DATA IN Equity","IS_OTHER_OPER_INC","FY 2005","FY 2005","Currency=INR","Period=FY","BEST_FPERIOD_OVERRIDE=FY","FILING_STATUS=MR","EQY_CONSOLIDATED=Y","SCALING_FORMAT=MLN","FA_ADJUSTED=GAAP","Sort=A","Dates=H","DateFormat=P","Fill=—","Direction=H","UseDPDF=Y")</f>
        <v>#NAME?</v>
      </c>
      <c r="E9" s="13" t="e" cm="1">
        <f t="array" aca="1" ref="E9" ca="1">_xll.BDH("DATA IN Equity","IS_OTHER_OPER_INC","FY 2006","FY 2006","Currency=INR","Period=FY","BEST_FPERIOD_OVERRIDE=FY","FILING_STATUS=MR","EQY_CONSOLIDATED=Y","SCALING_FORMAT=MLN","FA_ADJUSTED=GAAP","Sort=A","Dates=H","DateFormat=P","Fill=—","Direction=H","UseDPDF=Y")</f>
        <v>#NAME?</v>
      </c>
      <c r="F9" s="13" t="e" cm="1">
        <f t="array" aca="1" ref="F9" ca="1">_xll.BDH("DATA IN Equity","IS_OTHER_OPER_INC","FY 2007","FY 2007","Currency=INR","Period=FY","BEST_FPERIOD_OVERRIDE=FY","FILING_STATUS=MR","EQY_CONSOLIDATED=Y","SCALING_FORMAT=MLN","FA_ADJUSTED=GAAP","Sort=A","Dates=H","DateFormat=P","Fill=—","Direction=H","UseDPDF=Y")</f>
        <v>#NAME?</v>
      </c>
      <c r="G9" s="13" t="e" cm="1">
        <f t="array" aca="1" ref="G9" ca="1">_xll.BDH("DATA IN Equity","IS_OTHER_OPER_INC","FY 2008","FY 2008","Currency=INR","Period=FY","BEST_FPERIOD_OVERRIDE=FY","FILING_STATUS=MR","EQY_CONSOLIDATED=Y","SCALING_FORMAT=MLN","FA_ADJUSTED=GAAP","Sort=A","Dates=H","DateFormat=P","Fill=—","Direction=H","UseDPDF=Y")</f>
        <v>#NAME?</v>
      </c>
      <c r="H9" s="13" t="e" cm="1">
        <f t="array" aca="1" ref="H9" ca="1">_xll.BDH("DATA IN Equity","IS_OTHER_OPER_INC","FY 2009","FY 2009","Currency=INR","Period=FY","BEST_FPERIOD_OVERRIDE=FY","FILING_STATUS=MR","EQY_CONSOLIDATED=Y","SCALING_FORMAT=MLN","FA_ADJUSTED=GAAP","Sort=A","Dates=H","DateFormat=P","Fill=—","Direction=H","UseDPDF=Y")</f>
        <v>#NAME?</v>
      </c>
      <c r="I9" s="13" t="e" cm="1">
        <f t="array" aca="1" ref="I9" ca="1">_xll.BDH("DATA IN Equity","IS_OTHER_OPER_INC","FY 2010","FY 2010","Currency=INR","Period=FY","BEST_FPERIOD_OVERRIDE=FY","FILING_STATUS=MR","EQY_CONSOLIDATED=Y","SCALING_FORMAT=MLN","FA_ADJUSTED=GAAP","Sort=A","Dates=H","DateFormat=P","Fill=—","Direction=H","UseDPDF=Y")</f>
        <v>#NAME?</v>
      </c>
      <c r="J9" s="13" t="e" cm="1">
        <f t="array" aca="1" ref="J9" ca="1">_xll.BDH("DATA IN Equity","IS_OTHER_OPER_INC","FY 2011","FY 2011","Currency=INR","Period=FY","BEST_FPERIOD_OVERRIDE=FY","FILING_STATUS=MR","EQY_CONSOLIDATED=Y","SCALING_FORMAT=MLN","FA_ADJUSTED=GAAP","Sort=A","Dates=H","DateFormat=P","Fill=—","Direction=H","UseDPDF=Y")</f>
        <v>#NAME?</v>
      </c>
      <c r="K9" s="13" t="e" cm="1">
        <f t="array" aca="1" ref="K9" ca="1">_xll.BDH("DATA IN Equity","IS_OTHER_OPER_INC","FY 2012","FY 2012","Currency=INR","Period=FY","BEST_FPERIOD_OVERRIDE=FY","FILING_STATUS=MR","EQY_CONSOLIDATED=Y","SCALING_FORMAT=MLN","FA_ADJUSTED=GAAP","Sort=A","Dates=H","DateFormat=P","Fill=—","Direction=H","UseDPDF=Y")</f>
        <v>#NAME?</v>
      </c>
      <c r="L9" s="13" t="e" cm="1">
        <f t="array" aca="1" ref="L9" ca="1">_xll.BDH("DATA IN Equity","IS_OTHER_OPER_INC","FY 2013","FY 2013","Currency=INR","Period=FY","BEST_FPERIOD_OVERRIDE=FY","FILING_STATUS=MR","EQY_CONSOLIDATED=Y","SCALING_FORMAT=MLN","FA_ADJUSTED=GAAP","Sort=A","Dates=H","DateFormat=P","Fill=—","Direction=H","UseDPDF=Y")</f>
        <v>#NAME?</v>
      </c>
      <c r="M9" s="13" t="e" cm="1">
        <f t="array" aca="1" ref="M9" ca="1">_xll.BDH("DATA IN Equity","IS_OTHER_OPER_INC","FY 2014","FY 2014","Currency=INR","Period=FY","BEST_FPERIOD_OVERRIDE=FY","FILING_STATUS=MR","EQY_CONSOLIDATED=Y","SCALING_FORMAT=MLN","FA_ADJUSTED=GAAP","Sort=A","Dates=H","DateFormat=P","Fill=—","Direction=H","UseDPDF=Y")</f>
        <v>#NAME?</v>
      </c>
      <c r="N9" s="13" t="e" cm="1">
        <f t="array" aca="1" ref="N9" ca="1">_xll.BDH("DATA IN Equity","IS_OTHER_OPER_INC","FY 2015","FY 2015","Currency=INR","Period=FY","BEST_FPERIOD_OVERRIDE=FY","FILING_STATUS=MR","EQY_CONSOLIDATED=Y","SCALING_FORMAT=MLN","FA_ADJUSTED=GAAP","Sort=A","Dates=H","DateFormat=P","Fill=—","Direction=H","UseDPDF=Y")</f>
        <v>#NAME?</v>
      </c>
      <c r="O9" s="13" t="e" cm="1">
        <f t="array" aca="1" ref="O9" ca="1">_xll.BDH("DATA IN Equity","IS_OTHER_OPER_INC","FY 2016","FY 2016","Currency=INR","Period=FY","BEST_FPERIOD_OVERRIDE=FY","FILING_STATUS=MR","EQY_CONSOLIDATED=Y","SCALING_FORMAT=MLN","FA_ADJUSTED=GAAP","Sort=A","Dates=H","DateFormat=P","Fill=—","Direction=H","UseDPDF=Y")</f>
        <v>#NAME?</v>
      </c>
      <c r="P9" s="13" t="e" cm="1">
        <f t="array" aca="1" ref="P9" ca="1">_xll.BDH("DATA IN Equity","IS_OTHER_OPER_INC","FY 2017","FY 2017","Currency=INR","Period=FY","BEST_FPERIOD_OVERRIDE=FY","FILING_STATUS=MR","EQY_CONSOLIDATED=Y","SCALING_FORMAT=MLN","FA_ADJUSTED=GAAP","Sort=A","Dates=H","DateFormat=P","Fill=—","Direction=H","UseDPDF=Y")</f>
        <v>#NAME?</v>
      </c>
      <c r="Q9" s="13" t="e" cm="1">
        <f t="array" aca="1" ref="Q9" ca="1">_xll.BDH("DATA IN Equity","IS_OTHER_OPER_INC","FY 2018","FY 2018","Currency=INR","Period=FY","BEST_FPERIOD_OVERRIDE=FY","FILING_STATUS=MR","EQY_CONSOLIDATED=Y","SCALING_FORMAT=MLN","FA_ADJUSTED=GAAP","Sort=A","Dates=H","DateFormat=P","Fill=—","Direction=H","UseDPDF=Y")</f>
        <v>#NAME?</v>
      </c>
      <c r="R9" s="13" t="e" cm="1">
        <f t="array" aca="1" ref="R9" ca="1">_xll.BDH("DATA IN Equity","IS_OTHER_OPER_INC","FY 2019","FY 2019","Currency=INR","Period=FY","BEST_FPERIOD_OVERRIDE=FY","FILING_STATUS=MR","EQY_CONSOLIDATED=Y","SCALING_FORMAT=MLN","FA_ADJUSTED=GAAP","Sort=A","Dates=H","DateFormat=P","Fill=—","Direction=H","UseDPDF=Y")</f>
        <v>#NAME?</v>
      </c>
      <c r="S9" s="13" t="e" cm="1">
        <f t="array" aca="1" ref="S9" ca="1">_xll.BDH("DATA IN Equity","IS_OTHER_OPER_INC","FY 2020","FY 2020","Currency=INR","Period=FY","BEST_FPERIOD_OVERRIDE=FY","FILING_STATUS=MR","EQY_CONSOLIDATED=Y","SCALING_FORMAT=MLN","FA_ADJUSTED=GAAP","Sort=A","Dates=H","DateFormat=P","Fill=—","Direction=H","UseDPDF=Y")</f>
        <v>#NAME?</v>
      </c>
      <c r="T9" s="13" t="e" cm="1">
        <f t="array" aca="1" ref="T9" ca="1">_xll.BDH("DATA IN Equity","IS_OTHER_OPER_INC","FY 2021","FY 2021","Currency=INR","Period=FY","BEST_FPERIOD_OVERRIDE=FY","FILING_STATUS=MR","EQY_CONSOLIDATED=Y","SCALING_FORMAT=MLN","FA_ADJUSTED=GAAP","Sort=A","Dates=H","DateFormat=P","Fill=—","Direction=H","UseDPDF=Y")</f>
        <v>#NAME?</v>
      </c>
      <c r="U9" s="13" t="e" cm="1">
        <f t="array" aca="1" ref="U9" ca="1">_xll.BDH("DATA IN Equity","IS_OTHER_OPER_INC","FY 2022","FY 2022","Currency=INR","Period=FY","BEST_FPERIOD_OVERRIDE=FY","FILING_STATUS=MR","EQY_CONSOLIDATED=Y","SCALING_FORMAT=MLN","FA_ADJUSTED=GAAP","Sort=A","Dates=H","DateFormat=P","Fill=—","Direction=H","UseDPDF=Y")</f>
        <v>#NAME?</v>
      </c>
      <c r="V9" s="13" t="e" cm="1">
        <f t="array" aca="1" ref="V9" ca="1">_xll.BDH("DATA IN Equity","IS_OTHER_OPER_INC","FY 2023","FY 2023","Currency=INR","Period=FY","BEST_FPERIOD_OVERRIDE=FY","FILING_STATUS=MR","EQY_CONSOLIDATED=Y","SCALING_FORMAT=MLN","FA_ADJUSTED=GAAP","Sort=A","Dates=H","DateFormat=P","Fill=—","Direction=H","UseDPDF=Y")</f>
        <v>#NAME?</v>
      </c>
      <c r="W9" s="13" t="e" cm="1">
        <f t="array" aca="1" ref="W9" ca="1">_xll.BDH("DATA IN Equity","IS_OTHER_OPER_INC","FY 2024","FY 2024","Currency=INR","Period=FY","BEST_FPERIOD_OVERRIDE=FY","FILING_STATUS=MR","EQY_CONSOLIDATED=Y","SCALING_FORMAT=MLN","FA_ADJUSTED=GAAP","Sort=A","Dates=H","DateFormat=P","Fill=—","Direction=H","UseDPDF=Y")</f>
        <v>#NAME?</v>
      </c>
      <c r="X9" s="13" t="e" cm="1">
        <f t="array" aca="1" ref="X9" ca="1">_xll.BDH("DATA IN Equity","IS_OTHER_OPER_INC","FY 2025","FY 2025","Currency=INR","Period=FY","BEST_FPERIOD_OVERRIDE=FY","FILING_STATUS=MR","EQY_CONSOLIDATED=Y","SCALING_FORMAT=MLN","FA_ADJUSTED=GAAP","Sort=A","Dates=H","DateFormat=P","Fill=—","Direction=H","UseDPDF=Y")</f>
        <v>#NAME?</v>
      </c>
      <c r="Y9" s="16">
        <v>0</v>
      </c>
      <c r="Z9" s="13"/>
      <c r="AA9" s="13"/>
    </row>
    <row r="10" spans="1:27" x14ac:dyDescent="0.2">
      <c r="A10" s="10" t="s">
        <v>124</v>
      </c>
      <c r="B10" s="10" t="s">
        <v>125</v>
      </c>
      <c r="C10" s="13" t="e" cm="1">
        <f t="array" aca="1" ref="C10" ca="1">_xll.BDH("DATA IN Equity","IS_OPERATING_EXPN","FY 2004","FY 2004","Currency=INR","Period=FY","BEST_FPERIOD_OVERRIDE=FY","FILING_STATUS=MR","EQY_CONSOLIDATED=Y","SCALING_FORMAT=MLN","FA_ADJUSTED=GAAP","Sort=A","Dates=H","DateFormat=P","Fill=—","Direction=H","UseDPDF=Y")</f>
        <v>#NAME?</v>
      </c>
      <c r="D10" s="13" t="e" cm="1">
        <f t="array" aca="1" ref="D10" ca="1">_xll.BDH("DATA IN Equity","IS_OPERATING_EXPN","FY 2005","FY 2005","Currency=INR","Period=FY","BEST_FPERIOD_OVERRIDE=FY","FILING_STATUS=MR","EQY_CONSOLIDATED=Y","SCALING_FORMAT=MLN","FA_ADJUSTED=GAAP","Sort=A","Dates=H","DateFormat=P","Fill=—","Direction=H","UseDPDF=Y")</f>
        <v>#NAME?</v>
      </c>
      <c r="E10" s="13" t="e" cm="1">
        <f t="array" aca="1" ref="E10" ca="1">_xll.BDH("DATA IN Equity","IS_OPERATING_EXPN","FY 2006","FY 2006","Currency=INR","Period=FY","BEST_FPERIOD_OVERRIDE=FY","FILING_STATUS=MR","EQY_CONSOLIDATED=Y","SCALING_FORMAT=MLN","FA_ADJUSTED=GAAP","Sort=A","Dates=H","DateFormat=P","Fill=—","Direction=H","UseDPDF=Y")</f>
        <v>#NAME?</v>
      </c>
      <c r="F10" s="13" t="e" cm="1">
        <f t="array" aca="1" ref="F10" ca="1">_xll.BDH("DATA IN Equity","IS_OPERATING_EXPN","FY 2007","FY 2007","Currency=INR","Period=FY","BEST_FPERIOD_OVERRIDE=FY","FILING_STATUS=MR","EQY_CONSOLIDATED=Y","SCALING_FORMAT=MLN","FA_ADJUSTED=GAAP","Sort=A","Dates=H","DateFormat=P","Fill=—","Direction=H","UseDPDF=Y")</f>
        <v>#NAME?</v>
      </c>
      <c r="G10" s="13" t="e" cm="1">
        <f t="array" aca="1" ref="G10" ca="1">_xll.BDH("DATA IN Equity","IS_OPERATING_EXPN","FY 2008","FY 2008","Currency=INR","Period=FY","BEST_FPERIOD_OVERRIDE=FY","FILING_STATUS=MR","EQY_CONSOLIDATED=Y","SCALING_FORMAT=MLN","FA_ADJUSTED=GAAP","Sort=A","Dates=H","DateFormat=P","Fill=—","Direction=H","UseDPDF=Y")</f>
        <v>#NAME?</v>
      </c>
      <c r="H10" s="13" t="e" cm="1">
        <f t="array" aca="1" ref="H10" ca="1">_xll.BDH("DATA IN Equity","IS_OPERATING_EXPN","FY 2009","FY 2009","Currency=INR","Period=FY","BEST_FPERIOD_OVERRIDE=FY","FILING_STATUS=MR","EQY_CONSOLIDATED=Y","SCALING_FORMAT=MLN","FA_ADJUSTED=GAAP","Sort=A","Dates=H","DateFormat=P","Fill=—","Direction=H","UseDPDF=Y")</f>
        <v>#NAME?</v>
      </c>
      <c r="I10" s="13" t="e" cm="1">
        <f t="array" aca="1" ref="I10" ca="1">_xll.BDH("DATA IN Equity","IS_OPERATING_EXPN","FY 2010","FY 2010","Currency=INR","Period=FY","BEST_FPERIOD_OVERRIDE=FY","FILING_STATUS=MR","EQY_CONSOLIDATED=Y","SCALING_FORMAT=MLN","FA_ADJUSTED=GAAP","Sort=A","Dates=H","DateFormat=P","Fill=—","Direction=H","UseDPDF=Y")</f>
        <v>#NAME?</v>
      </c>
      <c r="J10" s="13" t="e" cm="1">
        <f t="array" aca="1" ref="J10" ca="1">_xll.BDH("DATA IN Equity","IS_OPERATING_EXPN","FY 2011","FY 2011","Currency=INR","Period=FY","BEST_FPERIOD_OVERRIDE=FY","FILING_STATUS=MR","EQY_CONSOLIDATED=Y","SCALING_FORMAT=MLN","FA_ADJUSTED=GAAP","Sort=A","Dates=H","DateFormat=P","Fill=—","Direction=H","UseDPDF=Y")</f>
        <v>#NAME?</v>
      </c>
      <c r="K10" s="13" t="e" cm="1">
        <f t="array" aca="1" ref="K10" ca="1">_xll.BDH("DATA IN Equity","IS_OPERATING_EXPN","FY 2012","FY 2012","Currency=INR","Period=FY","BEST_FPERIOD_OVERRIDE=FY","FILING_STATUS=MR","EQY_CONSOLIDATED=Y","SCALING_FORMAT=MLN","FA_ADJUSTED=GAAP","Sort=A","Dates=H","DateFormat=P","Fill=—","Direction=H","UseDPDF=Y")</f>
        <v>#NAME?</v>
      </c>
      <c r="L10" s="13" t="e" cm="1">
        <f t="array" aca="1" ref="L10" ca="1">_xll.BDH("DATA IN Equity","IS_OPERATING_EXPN","FY 2013","FY 2013","Currency=INR","Period=FY","BEST_FPERIOD_OVERRIDE=FY","FILING_STATUS=MR","EQY_CONSOLIDATED=Y","SCALING_FORMAT=MLN","FA_ADJUSTED=GAAP","Sort=A","Dates=H","DateFormat=P","Fill=—","Direction=H","UseDPDF=Y")</f>
        <v>#NAME?</v>
      </c>
      <c r="M10" s="13" t="e" cm="1">
        <f t="array" aca="1" ref="M10" ca="1">_xll.BDH("DATA IN Equity","IS_OPERATING_EXPN","FY 2014","FY 2014","Currency=INR","Period=FY","BEST_FPERIOD_OVERRIDE=FY","FILING_STATUS=MR","EQY_CONSOLIDATED=Y","SCALING_FORMAT=MLN","FA_ADJUSTED=GAAP","Sort=A","Dates=H","DateFormat=P","Fill=—","Direction=H","UseDPDF=Y")</f>
        <v>#NAME?</v>
      </c>
      <c r="N10" s="13" t="e" cm="1">
        <f t="array" aca="1" ref="N10" ca="1">_xll.BDH("DATA IN Equity","IS_OPERATING_EXPN","FY 2015","FY 2015","Currency=INR","Period=FY","BEST_FPERIOD_OVERRIDE=FY","FILING_STATUS=MR","EQY_CONSOLIDATED=Y","SCALING_FORMAT=MLN","FA_ADJUSTED=GAAP","Sort=A","Dates=H","DateFormat=P","Fill=—","Direction=H","UseDPDF=Y")</f>
        <v>#NAME?</v>
      </c>
      <c r="O10" s="13" t="e" cm="1">
        <f t="array" aca="1" ref="O10" ca="1">_xll.BDH("DATA IN Equity","IS_OPERATING_EXPN","FY 2016","FY 2016","Currency=INR","Period=FY","BEST_FPERIOD_OVERRIDE=FY","FILING_STATUS=MR","EQY_CONSOLIDATED=Y","SCALING_FORMAT=MLN","FA_ADJUSTED=GAAP","Sort=A","Dates=H","DateFormat=P","Fill=—","Direction=H","UseDPDF=Y")</f>
        <v>#NAME?</v>
      </c>
      <c r="P10" s="13" t="e" cm="1">
        <f t="array" aca="1" ref="P10" ca="1">_xll.BDH("DATA IN Equity","IS_OPERATING_EXPN","FY 2017","FY 2017","Currency=INR","Period=FY","BEST_FPERIOD_OVERRIDE=FY","FILING_STATUS=MR","EQY_CONSOLIDATED=Y","SCALING_FORMAT=MLN","FA_ADJUSTED=GAAP","Sort=A","Dates=H","DateFormat=P","Fill=—","Direction=H","UseDPDF=Y")</f>
        <v>#NAME?</v>
      </c>
      <c r="Q10" s="13" t="e" cm="1">
        <f t="array" aca="1" ref="Q10" ca="1">_xll.BDH("DATA IN Equity","IS_OPERATING_EXPN","FY 2018","FY 2018","Currency=INR","Period=FY","BEST_FPERIOD_OVERRIDE=FY","FILING_STATUS=MR","EQY_CONSOLIDATED=Y","SCALING_FORMAT=MLN","FA_ADJUSTED=GAAP","Sort=A","Dates=H","DateFormat=P","Fill=—","Direction=H","UseDPDF=Y")</f>
        <v>#NAME?</v>
      </c>
      <c r="R10" s="13" t="e" cm="1">
        <f t="array" aca="1" ref="R10" ca="1">_xll.BDH("DATA IN Equity","IS_OPERATING_EXPN","FY 2019","FY 2019","Currency=INR","Period=FY","BEST_FPERIOD_OVERRIDE=FY","FILING_STATUS=MR","EQY_CONSOLIDATED=Y","SCALING_FORMAT=MLN","FA_ADJUSTED=GAAP","Sort=A","Dates=H","DateFormat=P","Fill=—","Direction=H","UseDPDF=Y")</f>
        <v>#NAME?</v>
      </c>
      <c r="S10" s="13" t="e" cm="1">
        <f t="array" aca="1" ref="S10" ca="1">_xll.BDH("DATA IN Equity","IS_OPERATING_EXPN","FY 2020","FY 2020","Currency=INR","Period=FY","BEST_FPERIOD_OVERRIDE=FY","FILING_STATUS=MR","EQY_CONSOLIDATED=Y","SCALING_FORMAT=MLN","FA_ADJUSTED=GAAP","Sort=A","Dates=H","DateFormat=P","Fill=—","Direction=H","UseDPDF=Y")</f>
        <v>#NAME?</v>
      </c>
      <c r="T10" s="13" t="e" cm="1">
        <f t="array" aca="1" ref="T10" ca="1">_xll.BDH("DATA IN Equity","IS_OPERATING_EXPN","FY 2021","FY 2021","Currency=INR","Period=FY","BEST_FPERIOD_OVERRIDE=FY","FILING_STATUS=MR","EQY_CONSOLIDATED=Y","SCALING_FORMAT=MLN","FA_ADJUSTED=GAAP","Sort=A","Dates=H","DateFormat=P","Fill=—","Direction=H","UseDPDF=Y")</f>
        <v>#NAME?</v>
      </c>
      <c r="U10" s="13" t="e" cm="1">
        <f t="array" aca="1" ref="U10" ca="1">_xll.BDH("DATA IN Equity","IS_OPERATING_EXPN","FY 2022","FY 2022","Currency=INR","Period=FY","BEST_FPERIOD_OVERRIDE=FY","FILING_STATUS=MR","EQY_CONSOLIDATED=Y","SCALING_FORMAT=MLN","FA_ADJUSTED=GAAP","Sort=A","Dates=H","DateFormat=P","Fill=—","Direction=H","UseDPDF=Y")</f>
        <v>#NAME?</v>
      </c>
      <c r="V10" s="13" t="e" cm="1">
        <f t="array" aca="1" ref="V10" ca="1">_xll.BDH("DATA IN Equity","IS_OPERATING_EXPN","FY 2023","FY 2023","Currency=INR","Period=FY","BEST_FPERIOD_OVERRIDE=FY","FILING_STATUS=MR","EQY_CONSOLIDATED=Y","SCALING_FORMAT=MLN","FA_ADJUSTED=GAAP","Sort=A","Dates=H","DateFormat=P","Fill=—","Direction=H","UseDPDF=Y")</f>
        <v>#NAME?</v>
      </c>
      <c r="W10" s="13" t="e" cm="1">
        <f t="array" aca="1" ref="W10" ca="1">_xll.BDH("DATA IN Equity","IS_OPERATING_EXPN","FY 2024","FY 2024","Currency=INR","Period=FY","BEST_FPERIOD_OVERRIDE=FY","FILING_STATUS=MR","EQY_CONSOLIDATED=Y","SCALING_FORMAT=MLN","FA_ADJUSTED=GAAP","Sort=A","Dates=H","DateFormat=P","Fill=—","Direction=H","UseDPDF=Y")</f>
        <v>#NAME?</v>
      </c>
      <c r="X10" s="13" t="e" cm="1">
        <f t="array" aca="1" ref="X10" ca="1">_xll.BDH("DATA IN Equity","IS_OPERATING_EXPN","FY 2025","FY 2025","Currency=INR","Period=FY","BEST_FPERIOD_OVERRIDE=FY","FILING_STATUS=MR","EQY_CONSOLIDATED=Y","SCALING_FORMAT=MLN","FA_ADJUSTED=GAAP","Sort=A","Dates=H","DateFormat=P","Fill=—","Direction=H","UseDPDF=Y")</f>
        <v>#NAME?</v>
      </c>
      <c r="Y10" s="16">
        <v>17510.599999999999</v>
      </c>
      <c r="Z10" s="13"/>
      <c r="AA10" s="13"/>
    </row>
    <row r="11" spans="1:27" x14ac:dyDescent="0.2">
      <c r="A11" s="11" t="s">
        <v>126</v>
      </c>
      <c r="B11" s="11" t="s">
        <v>127</v>
      </c>
      <c r="C11" s="25" t="e" cm="1">
        <f t="array" aca="1" ref="C11" ca="1">_xll.BDH("DATA IN Equity","IS_SELLING_EXPENSES","FY 2004","FY 2004","Currency=INR","Period=FY","BEST_FPERIOD_OVERRIDE=FY","FILING_STATUS=MR","EQY_CONSOLIDATED=Y","SCALING_FORMAT=MLN","FA_ADJUSTED=GAAP","Sort=A","Dates=H","DateFormat=P","Fill=—","Direction=H","UseDPDF=Y")</f>
        <v>#NAME?</v>
      </c>
      <c r="D11" s="25" t="e" cm="1">
        <f t="array" aca="1" ref="D11" ca="1">_xll.BDH("DATA IN Equity","IS_SELLING_EXPENSES","FY 2005","FY 2005","Currency=INR","Period=FY","BEST_FPERIOD_OVERRIDE=FY","FILING_STATUS=MR","EQY_CONSOLIDATED=Y","SCALING_FORMAT=MLN","FA_ADJUSTED=GAAP","Sort=A","Dates=H","DateFormat=P","Fill=—","Direction=H","UseDPDF=Y")</f>
        <v>#NAME?</v>
      </c>
      <c r="E11" s="25" t="e" cm="1">
        <f t="array" aca="1" ref="E11" ca="1">_xll.BDH("DATA IN Equity","IS_SELLING_EXPENSES","FY 2006","FY 2006","Currency=INR","Period=FY","BEST_FPERIOD_OVERRIDE=FY","FILING_STATUS=MR","EQY_CONSOLIDATED=Y","SCALING_FORMAT=MLN","FA_ADJUSTED=GAAP","Sort=A","Dates=H","DateFormat=P","Fill=—","Direction=H","UseDPDF=Y")</f>
        <v>#NAME?</v>
      </c>
      <c r="F11" s="25" t="e" cm="1">
        <f t="array" aca="1" ref="F11" ca="1">_xll.BDH("DATA IN Equity","IS_SELLING_EXPENSES","FY 2007","FY 2007","Currency=INR","Period=FY","BEST_FPERIOD_OVERRIDE=FY","FILING_STATUS=MR","EQY_CONSOLIDATED=Y","SCALING_FORMAT=MLN","FA_ADJUSTED=GAAP","Sort=A","Dates=H","DateFormat=P","Fill=—","Direction=H","UseDPDF=Y")</f>
        <v>#NAME?</v>
      </c>
      <c r="G11" s="25" t="e" cm="1">
        <f t="array" aca="1" ref="G11" ca="1">_xll.BDH("DATA IN Equity","IS_SELLING_EXPENSES","FY 2008","FY 2008","Currency=INR","Period=FY","BEST_FPERIOD_OVERRIDE=FY","FILING_STATUS=MR","EQY_CONSOLIDATED=Y","SCALING_FORMAT=MLN","FA_ADJUSTED=GAAP","Sort=A","Dates=H","DateFormat=P","Fill=—","Direction=H","UseDPDF=Y")</f>
        <v>#NAME?</v>
      </c>
      <c r="H11" s="25" t="e" cm="1">
        <f t="array" aca="1" ref="H11" ca="1">_xll.BDH("DATA IN Equity","IS_SELLING_EXPENSES","FY 2009","FY 2009","Currency=INR","Period=FY","BEST_FPERIOD_OVERRIDE=FY","FILING_STATUS=MR","EQY_CONSOLIDATED=Y","SCALING_FORMAT=MLN","FA_ADJUSTED=GAAP","Sort=A","Dates=H","DateFormat=P","Fill=—","Direction=H","UseDPDF=Y")</f>
        <v>#NAME?</v>
      </c>
      <c r="I11" s="25" t="e" cm="1">
        <f t="array" aca="1" ref="I11" ca="1">_xll.BDH("DATA IN Equity","IS_SELLING_EXPENSES","FY 2010","FY 2010","Currency=INR","Period=FY","BEST_FPERIOD_OVERRIDE=FY","FILING_STATUS=MR","EQY_CONSOLIDATED=Y","SCALING_FORMAT=MLN","FA_ADJUSTED=GAAP","Sort=A","Dates=H","DateFormat=P","Fill=—","Direction=H","UseDPDF=Y")</f>
        <v>#NAME?</v>
      </c>
      <c r="J11" s="25" t="e" cm="1">
        <f t="array" aca="1" ref="J11" ca="1">_xll.BDH("DATA IN Equity","IS_SELLING_EXPENSES","FY 2011","FY 2011","Currency=INR","Period=FY","BEST_FPERIOD_OVERRIDE=FY","FILING_STATUS=MR","EQY_CONSOLIDATED=Y","SCALING_FORMAT=MLN","FA_ADJUSTED=GAAP","Sort=A","Dates=H","DateFormat=P","Fill=—","Direction=H","UseDPDF=Y")</f>
        <v>#NAME?</v>
      </c>
      <c r="K11" s="25" t="e" cm="1">
        <f t="array" aca="1" ref="K11" ca="1">_xll.BDH("DATA IN Equity","IS_SELLING_EXPENSES","FY 2012","FY 2012","Currency=INR","Period=FY","BEST_FPERIOD_OVERRIDE=FY","FILING_STATUS=MR","EQY_CONSOLIDATED=Y","SCALING_FORMAT=MLN","FA_ADJUSTED=GAAP","Sort=A","Dates=H","DateFormat=P","Fill=—","Direction=H","UseDPDF=Y")</f>
        <v>#NAME?</v>
      </c>
      <c r="L11" s="25" t="e" cm="1">
        <f t="array" aca="1" ref="L11" ca="1">_xll.BDH("DATA IN Equity","IS_SELLING_EXPENSES","FY 2013","FY 2013","Currency=INR","Period=FY","BEST_FPERIOD_OVERRIDE=FY","FILING_STATUS=MR","EQY_CONSOLIDATED=Y","SCALING_FORMAT=MLN","FA_ADJUSTED=GAAP","Sort=A","Dates=H","DateFormat=P","Fill=—","Direction=H","UseDPDF=Y")</f>
        <v>#NAME?</v>
      </c>
      <c r="M11" s="25" t="e" cm="1">
        <f t="array" aca="1" ref="M11" ca="1">_xll.BDH("DATA IN Equity","IS_SELLING_EXPENSES","FY 2014","FY 2014","Currency=INR","Period=FY","BEST_FPERIOD_OVERRIDE=FY","FILING_STATUS=MR","EQY_CONSOLIDATED=Y","SCALING_FORMAT=MLN","FA_ADJUSTED=GAAP","Sort=A","Dates=H","DateFormat=P","Fill=—","Direction=H","UseDPDF=Y")</f>
        <v>#NAME?</v>
      </c>
      <c r="N11" s="25" t="e" cm="1">
        <f t="array" aca="1" ref="N11" ca="1">_xll.BDH("DATA IN Equity","IS_SELLING_EXPENSES","FY 2015","FY 2015","Currency=INR","Period=FY","BEST_FPERIOD_OVERRIDE=FY","FILING_STATUS=MR","EQY_CONSOLIDATED=Y","SCALING_FORMAT=MLN","FA_ADJUSTED=GAAP","Sort=A","Dates=H","DateFormat=P","Fill=—","Direction=H","UseDPDF=Y")</f>
        <v>#NAME?</v>
      </c>
      <c r="O11" s="25" t="e" cm="1">
        <f t="array" aca="1" ref="O11" ca="1">_xll.BDH("DATA IN Equity","IS_SELLING_EXPENSES","FY 2016","FY 2016","Currency=INR","Period=FY","BEST_FPERIOD_OVERRIDE=FY","FILING_STATUS=MR","EQY_CONSOLIDATED=Y","SCALING_FORMAT=MLN","FA_ADJUSTED=GAAP","Sort=A","Dates=H","DateFormat=P","Fill=—","Direction=H","UseDPDF=Y")</f>
        <v>#NAME?</v>
      </c>
      <c r="P11" s="25" t="e" cm="1">
        <f t="array" aca="1" ref="P11" ca="1">_xll.BDH("DATA IN Equity","IS_SELLING_EXPENSES","FY 2017","FY 2017","Currency=INR","Period=FY","BEST_FPERIOD_OVERRIDE=FY","FILING_STATUS=MR","EQY_CONSOLIDATED=Y","SCALING_FORMAT=MLN","FA_ADJUSTED=GAAP","Sort=A","Dates=H","DateFormat=P","Fill=—","Direction=H","UseDPDF=Y")</f>
        <v>#NAME?</v>
      </c>
      <c r="Q11" s="25" t="e" cm="1">
        <f t="array" aca="1" ref="Q11" ca="1">_xll.BDH("DATA IN Equity","IS_SELLING_EXPENSES","FY 2018","FY 2018","Currency=INR","Period=FY","BEST_FPERIOD_OVERRIDE=FY","FILING_STATUS=MR","EQY_CONSOLIDATED=Y","SCALING_FORMAT=MLN","FA_ADJUSTED=GAAP","Sort=A","Dates=H","DateFormat=P","Fill=—","Direction=H","UseDPDF=Y")</f>
        <v>#NAME?</v>
      </c>
      <c r="R11" s="25" t="e" cm="1">
        <f t="array" aca="1" ref="R11" ca="1">_xll.BDH("DATA IN Equity","IS_SELLING_EXPENSES","FY 2019","FY 2019","Currency=INR","Period=FY","BEST_FPERIOD_OVERRIDE=FY","FILING_STATUS=MR","EQY_CONSOLIDATED=Y","SCALING_FORMAT=MLN","FA_ADJUSTED=GAAP","Sort=A","Dates=H","DateFormat=P","Fill=—","Direction=H","UseDPDF=Y")</f>
        <v>#NAME?</v>
      </c>
      <c r="S11" s="25" t="e" cm="1">
        <f t="array" aca="1" ref="S11" ca="1">_xll.BDH("DATA IN Equity","IS_SELLING_EXPENSES","FY 2020","FY 2020","Currency=INR","Period=FY","BEST_FPERIOD_OVERRIDE=FY","FILING_STATUS=MR","EQY_CONSOLIDATED=Y","SCALING_FORMAT=MLN","FA_ADJUSTED=GAAP","Sort=A","Dates=H","DateFormat=P","Fill=—","Direction=H","UseDPDF=Y")</f>
        <v>#NAME?</v>
      </c>
      <c r="T11" s="25" t="e" cm="1">
        <f t="array" aca="1" ref="T11" ca="1">_xll.BDH("DATA IN Equity","IS_SELLING_EXPENSES","FY 2021","FY 2021","Currency=INR","Period=FY","BEST_FPERIOD_OVERRIDE=FY","FILING_STATUS=MR","EQY_CONSOLIDATED=Y","SCALING_FORMAT=MLN","FA_ADJUSTED=GAAP","Sort=A","Dates=H","DateFormat=P","Fill=—","Direction=H","UseDPDF=Y")</f>
        <v>#NAME?</v>
      </c>
      <c r="U11" s="25" t="e" cm="1">
        <f t="array" aca="1" ref="U11" ca="1">_xll.BDH("DATA IN Equity","IS_SELLING_EXPENSES","FY 2022","FY 2022","Currency=INR","Period=FY","BEST_FPERIOD_OVERRIDE=FY","FILING_STATUS=MR","EQY_CONSOLIDATED=Y","SCALING_FORMAT=MLN","FA_ADJUSTED=GAAP","Sort=A","Dates=H","DateFormat=P","Fill=—","Direction=H","UseDPDF=Y")</f>
        <v>#NAME?</v>
      </c>
      <c r="V11" s="25" t="e" cm="1">
        <f t="array" aca="1" ref="V11" ca="1">_xll.BDH("DATA IN Equity","IS_SELLING_EXPENSES","FY 2023","FY 2023","Currency=INR","Period=FY","BEST_FPERIOD_OVERRIDE=FY","FILING_STATUS=MR","EQY_CONSOLIDATED=Y","SCALING_FORMAT=MLN","FA_ADJUSTED=GAAP","Sort=A","Dates=H","DateFormat=P","Fill=—","Direction=H","UseDPDF=Y")</f>
        <v>#NAME?</v>
      </c>
      <c r="W11" s="25" t="e" cm="1">
        <f t="array" aca="1" ref="W11" ca="1">_xll.BDH("DATA IN Equity","IS_SELLING_EXPENSES","FY 2024","FY 2024","Currency=INR","Period=FY","BEST_FPERIOD_OVERRIDE=FY","FILING_STATUS=MR","EQY_CONSOLIDATED=Y","SCALING_FORMAT=MLN","FA_ADJUSTED=GAAP","Sort=A","Dates=H","DateFormat=P","Fill=—","Direction=H","UseDPDF=Y")</f>
        <v>#NAME?</v>
      </c>
      <c r="X11" s="25" t="e" cm="1">
        <f t="array" aca="1" ref="X11" ca="1">_xll.BDH("DATA IN Equity","IS_SELLING_EXPENSES","FY 2025","FY 2025","Currency=INR","Period=FY","BEST_FPERIOD_OVERRIDE=FY","FILING_STATUS=MR","EQY_CONSOLIDATED=Y","SCALING_FORMAT=MLN","FA_ADJUSTED=GAAP","Sort=A","Dates=H","DateFormat=P","Fill=—","Direction=H","UseDPDF=Y")</f>
        <v>#NAME?</v>
      </c>
      <c r="Y11" s="28"/>
      <c r="Z11" s="25"/>
      <c r="AA11" s="25"/>
    </row>
    <row r="12" spans="1:27" x14ac:dyDescent="0.2">
      <c r="A12" s="10" t="s">
        <v>128</v>
      </c>
      <c r="B12" s="10" t="s">
        <v>129</v>
      </c>
      <c r="C12" s="13" t="e" cm="1">
        <f t="array" aca="1" ref="C12" ca="1">_xll.BDH("DATA IN Equity","IS_OPER_EXPENSES_RD_GAAP","FY 2004","FY 2004","Currency=INR","Period=FY","BEST_FPERIOD_OVERRIDE=FY","FILING_STATUS=MR","EQY_CONSOLIDATED=Y","SCALING_FORMAT=MLN","FA_ADJUSTED=GAAP","Sort=A","Dates=H","DateFormat=P","Fill=—","Direction=H","UseDPDF=Y")</f>
        <v>#NAME?</v>
      </c>
      <c r="D12" s="13" t="e" cm="1">
        <f t="array" aca="1" ref="D12" ca="1">_xll.BDH("DATA IN Equity","IS_OPER_EXPENSES_RD_GAAP","FY 2005","FY 2005","Currency=INR","Period=FY","BEST_FPERIOD_OVERRIDE=FY","FILING_STATUS=MR","EQY_CONSOLIDATED=Y","SCALING_FORMAT=MLN","FA_ADJUSTED=GAAP","Sort=A","Dates=H","DateFormat=P","Fill=—","Direction=H","UseDPDF=Y")</f>
        <v>#NAME?</v>
      </c>
      <c r="E12" s="13" t="e" cm="1">
        <f t="array" aca="1" ref="E12" ca="1">_xll.BDH("DATA IN Equity","IS_OPER_EXPENSES_RD_GAAP","FY 2006","FY 2006","Currency=INR","Period=FY","BEST_FPERIOD_OVERRIDE=FY","FILING_STATUS=MR","EQY_CONSOLIDATED=Y","SCALING_FORMAT=MLN","FA_ADJUSTED=GAAP","Sort=A","Dates=H","DateFormat=P","Fill=—","Direction=H","UseDPDF=Y")</f>
        <v>#NAME?</v>
      </c>
      <c r="F12" s="13" t="e" cm="1">
        <f t="array" aca="1" ref="F12" ca="1">_xll.BDH("DATA IN Equity","IS_OPER_EXPENSES_RD_GAAP","FY 2007","FY 2007","Currency=INR","Period=FY","BEST_FPERIOD_OVERRIDE=FY","FILING_STATUS=MR","EQY_CONSOLIDATED=Y","SCALING_FORMAT=MLN","FA_ADJUSTED=GAAP","Sort=A","Dates=H","DateFormat=P","Fill=—","Direction=H","UseDPDF=Y")</f>
        <v>#NAME?</v>
      </c>
      <c r="G12" s="13" t="e" cm="1">
        <f t="array" aca="1" ref="G12" ca="1">_xll.BDH("DATA IN Equity","IS_OPER_EXPENSES_RD_GAAP","FY 2008","FY 2008","Currency=INR","Period=FY","BEST_FPERIOD_OVERRIDE=FY","FILING_STATUS=MR","EQY_CONSOLIDATED=Y","SCALING_FORMAT=MLN","FA_ADJUSTED=GAAP","Sort=A","Dates=H","DateFormat=P","Fill=—","Direction=H","UseDPDF=Y")</f>
        <v>#NAME?</v>
      </c>
      <c r="H12" s="13" t="e" cm="1">
        <f t="array" aca="1" ref="H12" ca="1">_xll.BDH("DATA IN Equity","IS_OPER_EXPENSES_RD_GAAP","FY 2009","FY 2009","Currency=INR","Period=FY","BEST_FPERIOD_OVERRIDE=FY","FILING_STATUS=MR","EQY_CONSOLIDATED=Y","SCALING_FORMAT=MLN","FA_ADJUSTED=GAAP","Sort=A","Dates=H","DateFormat=P","Fill=—","Direction=H","UseDPDF=Y")</f>
        <v>#NAME?</v>
      </c>
      <c r="I12" s="13" t="e" cm="1">
        <f t="array" aca="1" ref="I12" ca="1">_xll.BDH("DATA IN Equity","IS_OPER_EXPENSES_RD_GAAP","FY 2010","FY 2010","Currency=INR","Period=FY","BEST_FPERIOD_OVERRIDE=FY","FILING_STATUS=MR","EQY_CONSOLIDATED=Y","SCALING_FORMAT=MLN","FA_ADJUSTED=GAAP","Sort=A","Dates=H","DateFormat=P","Fill=—","Direction=H","UseDPDF=Y")</f>
        <v>#NAME?</v>
      </c>
      <c r="J12" s="13" t="e" cm="1">
        <f t="array" aca="1" ref="J12" ca="1">_xll.BDH("DATA IN Equity","IS_OPER_EXPENSES_RD_GAAP","FY 2011","FY 2011","Currency=INR","Period=FY","BEST_FPERIOD_OVERRIDE=FY","FILING_STATUS=MR","EQY_CONSOLIDATED=Y","SCALING_FORMAT=MLN","FA_ADJUSTED=GAAP","Sort=A","Dates=H","DateFormat=P","Fill=—","Direction=H","UseDPDF=Y")</f>
        <v>#NAME?</v>
      </c>
      <c r="K12" s="13" t="e" cm="1">
        <f t="array" aca="1" ref="K12" ca="1">_xll.BDH("DATA IN Equity","IS_OPER_EXPENSES_RD_GAAP","FY 2012","FY 2012","Currency=INR","Period=FY","BEST_FPERIOD_OVERRIDE=FY","FILING_STATUS=MR","EQY_CONSOLIDATED=Y","SCALING_FORMAT=MLN","FA_ADJUSTED=GAAP","Sort=A","Dates=H","DateFormat=P","Fill=—","Direction=H","UseDPDF=Y")</f>
        <v>#NAME?</v>
      </c>
      <c r="L12" s="13" t="e" cm="1">
        <f t="array" aca="1" ref="L12" ca="1">_xll.BDH("DATA IN Equity","IS_OPER_EXPENSES_RD_GAAP","FY 2013","FY 2013","Currency=INR","Period=FY","BEST_FPERIOD_OVERRIDE=FY","FILING_STATUS=MR","EQY_CONSOLIDATED=Y","SCALING_FORMAT=MLN","FA_ADJUSTED=GAAP","Sort=A","Dates=H","DateFormat=P","Fill=—","Direction=H","UseDPDF=Y")</f>
        <v>#NAME?</v>
      </c>
      <c r="M12" s="13" t="e" cm="1">
        <f t="array" aca="1" ref="M12" ca="1">_xll.BDH("DATA IN Equity","IS_OPER_EXPENSES_RD_GAAP","FY 2014","FY 2014","Currency=INR","Period=FY","BEST_FPERIOD_OVERRIDE=FY","FILING_STATUS=MR","EQY_CONSOLIDATED=Y","SCALING_FORMAT=MLN","FA_ADJUSTED=GAAP","Sort=A","Dates=H","DateFormat=P","Fill=—","Direction=H","UseDPDF=Y")</f>
        <v>#NAME?</v>
      </c>
      <c r="N12" s="13" t="e" cm="1">
        <f t="array" aca="1" ref="N12" ca="1">_xll.BDH("DATA IN Equity","IS_OPER_EXPENSES_RD_GAAP","FY 2015","FY 2015","Currency=INR","Period=FY","BEST_FPERIOD_OVERRIDE=FY","FILING_STATUS=MR","EQY_CONSOLIDATED=Y","SCALING_FORMAT=MLN","FA_ADJUSTED=GAAP","Sort=A","Dates=H","DateFormat=P","Fill=—","Direction=H","UseDPDF=Y")</f>
        <v>#NAME?</v>
      </c>
      <c r="O12" s="13" t="e" cm="1">
        <f t="array" aca="1" ref="O12" ca="1">_xll.BDH("DATA IN Equity","IS_OPER_EXPENSES_RD_GAAP","FY 2016","FY 2016","Currency=INR","Period=FY","BEST_FPERIOD_OVERRIDE=FY","FILING_STATUS=MR","EQY_CONSOLIDATED=Y","SCALING_FORMAT=MLN","FA_ADJUSTED=GAAP","Sort=A","Dates=H","DateFormat=P","Fill=—","Direction=H","UseDPDF=Y")</f>
        <v>#NAME?</v>
      </c>
      <c r="P12" s="13" t="e" cm="1">
        <f t="array" aca="1" ref="P12" ca="1">_xll.BDH("DATA IN Equity","IS_OPER_EXPENSES_RD_GAAP","FY 2017","FY 2017","Currency=INR","Period=FY","BEST_FPERIOD_OVERRIDE=FY","FILING_STATUS=MR","EQY_CONSOLIDATED=Y","SCALING_FORMAT=MLN","FA_ADJUSTED=GAAP","Sort=A","Dates=H","DateFormat=P","Fill=—","Direction=H","UseDPDF=Y")</f>
        <v>#NAME?</v>
      </c>
      <c r="Q12" s="13" t="e" cm="1">
        <f t="array" aca="1" ref="Q12" ca="1">_xll.BDH("DATA IN Equity","IS_OPER_EXPENSES_RD_GAAP","FY 2018","FY 2018","Currency=INR","Period=FY","BEST_FPERIOD_OVERRIDE=FY","FILING_STATUS=MR","EQY_CONSOLIDATED=Y","SCALING_FORMAT=MLN","FA_ADJUSTED=GAAP","Sort=A","Dates=H","DateFormat=P","Fill=—","Direction=H","UseDPDF=Y")</f>
        <v>#NAME?</v>
      </c>
      <c r="R12" s="13" t="e" cm="1">
        <f t="array" aca="1" ref="R12" ca="1">_xll.BDH("DATA IN Equity","IS_OPER_EXPENSES_RD_GAAP","FY 2019","FY 2019","Currency=INR","Period=FY","BEST_FPERIOD_OVERRIDE=FY","FILING_STATUS=MR","EQY_CONSOLIDATED=Y","SCALING_FORMAT=MLN","FA_ADJUSTED=GAAP","Sort=A","Dates=H","DateFormat=P","Fill=—","Direction=H","UseDPDF=Y")</f>
        <v>#NAME?</v>
      </c>
      <c r="S12" s="13" t="e" cm="1">
        <f t="array" aca="1" ref="S12" ca="1">_xll.BDH("DATA IN Equity","IS_OPER_EXPENSES_RD_GAAP","FY 2020","FY 2020","Currency=INR","Period=FY","BEST_FPERIOD_OVERRIDE=FY","FILING_STATUS=MR","EQY_CONSOLIDATED=Y","SCALING_FORMAT=MLN","FA_ADJUSTED=GAAP","Sort=A","Dates=H","DateFormat=P","Fill=—","Direction=H","UseDPDF=Y")</f>
        <v>#NAME?</v>
      </c>
      <c r="T12" s="13" t="e" cm="1">
        <f t="array" aca="1" ref="T12" ca="1">_xll.BDH("DATA IN Equity","IS_OPER_EXPENSES_RD_GAAP","FY 2021","FY 2021","Currency=INR","Period=FY","BEST_FPERIOD_OVERRIDE=FY","FILING_STATUS=MR","EQY_CONSOLIDATED=Y","SCALING_FORMAT=MLN","FA_ADJUSTED=GAAP","Sort=A","Dates=H","DateFormat=P","Fill=—","Direction=H","UseDPDF=Y")</f>
        <v>#NAME?</v>
      </c>
      <c r="U12" s="13" t="e" cm="1">
        <f t="array" aca="1" ref="U12" ca="1">_xll.BDH("DATA IN Equity","IS_OPER_EXPENSES_RD_GAAP","FY 2022","FY 2022","Currency=INR","Period=FY","BEST_FPERIOD_OVERRIDE=FY","FILING_STATUS=MR","EQY_CONSOLIDATED=Y","SCALING_FORMAT=MLN","FA_ADJUSTED=GAAP","Sort=A","Dates=H","DateFormat=P","Fill=—","Direction=H","UseDPDF=Y")</f>
        <v>#NAME?</v>
      </c>
      <c r="V12" s="13" t="e" cm="1">
        <f t="array" aca="1" ref="V12" ca="1">_xll.BDH("DATA IN Equity","IS_OPER_EXPENSES_RD_GAAP","FY 2023","FY 2023","Currency=INR","Period=FY","BEST_FPERIOD_OVERRIDE=FY","FILING_STATUS=MR","EQY_CONSOLIDATED=Y","SCALING_FORMAT=MLN","FA_ADJUSTED=GAAP","Sort=A","Dates=H","DateFormat=P","Fill=—","Direction=H","UseDPDF=Y")</f>
        <v>#NAME?</v>
      </c>
      <c r="W12" s="13" t="e" cm="1">
        <f t="array" aca="1" ref="W12" ca="1">_xll.BDH("DATA IN Equity","IS_OPER_EXPENSES_RD_GAAP","FY 2024","FY 2024","Currency=INR","Period=FY","BEST_FPERIOD_OVERRIDE=FY","FILING_STATUS=MR","EQY_CONSOLIDATED=Y","SCALING_FORMAT=MLN","FA_ADJUSTED=GAAP","Sort=A","Dates=H","DateFormat=P","Fill=—","Direction=H","UseDPDF=Y")</f>
        <v>#NAME?</v>
      </c>
      <c r="X12" s="13" t="e" cm="1">
        <f t="array" aca="1" ref="X12" ca="1">_xll.BDH("DATA IN Equity","IS_OPER_EXPENSES_RD_GAAP","FY 2025","FY 2025","Currency=INR","Period=FY","BEST_FPERIOD_OVERRIDE=FY","FILING_STATUS=MR","EQY_CONSOLIDATED=Y","SCALING_FORMAT=MLN","FA_ADJUSTED=GAAP","Sort=A","Dates=H","DateFormat=P","Fill=—","Direction=H","UseDPDF=Y")</f>
        <v>#NAME?</v>
      </c>
      <c r="Y12" s="16"/>
      <c r="Z12" s="13"/>
      <c r="AA12" s="13"/>
    </row>
    <row r="13" spans="1:27" x14ac:dyDescent="0.2">
      <c r="A13" s="10" t="s">
        <v>130</v>
      </c>
      <c r="B13" s="10" t="s">
        <v>131</v>
      </c>
      <c r="C13" s="13" t="e" cm="1">
        <f t="array" aca="1" ref="C13" ca="1">_xll.BDH("DATA IN Equity","IS_DEPRECIATION_AND_AMORTIZATION","FY 2004","FY 2004","Currency=INR","Period=FY","BEST_FPERIOD_OVERRIDE=FY","FILING_STATUS=MR","EQY_CONSOLIDATED=Y","SCALING_FORMAT=MLN","FA_ADJUSTED=GAAP","Sort=A","Dates=H","DateFormat=P","Fill=—","Direction=H","UseDPDF=Y")</f>
        <v>#NAME?</v>
      </c>
      <c r="D13" s="13" t="e" cm="1">
        <f t="array" aca="1" ref="D13" ca="1">_xll.BDH("DATA IN Equity","IS_DEPRECIATION_AND_AMORTIZATION","FY 2005","FY 2005","Currency=INR","Period=FY","BEST_FPERIOD_OVERRIDE=FY","FILING_STATUS=MR","EQY_CONSOLIDATED=Y","SCALING_FORMAT=MLN","FA_ADJUSTED=GAAP","Sort=A","Dates=H","DateFormat=P","Fill=—","Direction=H","UseDPDF=Y")</f>
        <v>#NAME?</v>
      </c>
      <c r="E13" s="13" t="e" cm="1">
        <f t="array" aca="1" ref="E13" ca="1">_xll.BDH("DATA IN Equity","IS_DEPRECIATION_AND_AMORTIZATION","FY 2006","FY 2006","Currency=INR","Period=FY","BEST_FPERIOD_OVERRIDE=FY","FILING_STATUS=MR","EQY_CONSOLIDATED=Y","SCALING_FORMAT=MLN","FA_ADJUSTED=GAAP","Sort=A","Dates=H","DateFormat=P","Fill=—","Direction=H","UseDPDF=Y")</f>
        <v>#NAME?</v>
      </c>
      <c r="F13" s="13" t="e" cm="1">
        <f t="array" aca="1" ref="F13" ca="1">_xll.BDH("DATA IN Equity","IS_DEPRECIATION_AND_AMORTIZATION","FY 2007","FY 2007","Currency=INR","Period=FY","BEST_FPERIOD_OVERRIDE=FY","FILING_STATUS=MR","EQY_CONSOLIDATED=Y","SCALING_FORMAT=MLN","FA_ADJUSTED=GAAP","Sort=A","Dates=H","DateFormat=P","Fill=—","Direction=H","UseDPDF=Y")</f>
        <v>#NAME?</v>
      </c>
      <c r="G13" s="13" t="e" cm="1">
        <f t="array" aca="1" ref="G13" ca="1">_xll.BDH("DATA IN Equity","IS_DEPRECIATION_AND_AMORTIZATION","FY 2008","FY 2008","Currency=INR","Period=FY","BEST_FPERIOD_OVERRIDE=FY","FILING_STATUS=MR","EQY_CONSOLIDATED=Y","SCALING_FORMAT=MLN","FA_ADJUSTED=GAAP","Sort=A","Dates=H","DateFormat=P","Fill=—","Direction=H","UseDPDF=Y")</f>
        <v>#NAME?</v>
      </c>
      <c r="H13" s="13" t="e" cm="1">
        <f t="array" aca="1" ref="H13" ca="1">_xll.BDH("DATA IN Equity","IS_DEPRECIATION_AND_AMORTIZATION","FY 2009","FY 2009","Currency=INR","Period=FY","BEST_FPERIOD_OVERRIDE=FY","FILING_STATUS=MR","EQY_CONSOLIDATED=Y","SCALING_FORMAT=MLN","FA_ADJUSTED=GAAP","Sort=A","Dates=H","DateFormat=P","Fill=—","Direction=H","UseDPDF=Y")</f>
        <v>#NAME?</v>
      </c>
      <c r="I13" s="13" t="e" cm="1">
        <f t="array" aca="1" ref="I13" ca="1">_xll.BDH("DATA IN Equity","IS_DEPRECIATION_AND_AMORTIZATION","FY 2010","FY 2010","Currency=INR","Period=FY","BEST_FPERIOD_OVERRIDE=FY","FILING_STATUS=MR","EQY_CONSOLIDATED=Y","SCALING_FORMAT=MLN","FA_ADJUSTED=GAAP","Sort=A","Dates=H","DateFormat=P","Fill=—","Direction=H","UseDPDF=Y")</f>
        <v>#NAME?</v>
      </c>
      <c r="J13" s="13" t="e" cm="1">
        <f t="array" aca="1" ref="J13" ca="1">_xll.BDH("DATA IN Equity","IS_DEPRECIATION_AND_AMORTIZATION","FY 2011","FY 2011","Currency=INR","Period=FY","BEST_FPERIOD_OVERRIDE=FY","FILING_STATUS=MR","EQY_CONSOLIDATED=Y","SCALING_FORMAT=MLN","FA_ADJUSTED=GAAP","Sort=A","Dates=H","DateFormat=P","Fill=—","Direction=H","UseDPDF=Y")</f>
        <v>#NAME?</v>
      </c>
      <c r="K13" s="13" t="e" cm="1">
        <f t="array" aca="1" ref="K13" ca="1">_xll.BDH("DATA IN Equity","IS_DEPRECIATION_AND_AMORTIZATION","FY 2012","FY 2012","Currency=INR","Period=FY","BEST_FPERIOD_OVERRIDE=FY","FILING_STATUS=MR","EQY_CONSOLIDATED=Y","SCALING_FORMAT=MLN","FA_ADJUSTED=GAAP","Sort=A","Dates=H","DateFormat=P","Fill=—","Direction=H","UseDPDF=Y")</f>
        <v>#NAME?</v>
      </c>
      <c r="L13" s="13" t="e" cm="1">
        <f t="array" aca="1" ref="L13" ca="1">_xll.BDH("DATA IN Equity","IS_DEPRECIATION_AND_AMORTIZATION","FY 2013","FY 2013","Currency=INR","Period=FY","BEST_FPERIOD_OVERRIDE=FY","FILING_STATUS=MR","EQY_CONSOLIDATED=Y","SCALING_FORMAT=MLN","FA_ADJUSTED=GAAP","Sort=A","Dates=H","DateFormat=P","Fill=—","Direction=H","UseDPDF=Y")</f>
        <v>#NAME?</v>
      </c>
      <c r="M13" s="13" t="e" cm="1">
        <f t="array" aca="1" ref="M13" ca="1">_xll.BDH("DATA IN Equity","IS_DEPRECIATION_AND_AMORTIZATION","FY 2014","FY 2014","Currency=INR","Period=FY","BEST_FPERIOD_OVERRIDE=FY","FILING_STATUS=MR","EQY_CONSOLIDATED=Y","SCALING_FORMAT=MLN","FA_ADJUSTED=GAAP","Sort=A","Dates=H","DateFormat=P","Fill=—","Direction=H","UseDPDF=Y")</f>
        <v>#NAME?</v>
      </c>
      <c r="N13" s="13" t="e" cm="1">
        <f t="array" aca="1" ref="N13" ca="1">_xll.BDH("DATA IN Equity","IS_DEPRECIATION_AND_AMORTIZATION","FY 2015","FY 2015","Currency=INR","Period=FY","BEST_FPERIOD_OVERRIDE=FY","FILING_STATUS=MR","EQY_CONSOLIDATED=Y","SCALING_FORMAT=MLN","FA_ADJUSTED=GAAP","Sort=A","Dates=H","DateFormat=P","Fill=—","Direction=H","UseDPDF=Y")</f>
        <v>#NAME?</v>
      </c>
      <c r="O13" s="13" t="e" cm="1">
        <f t="array" aca="1" ref="O13" ca="1">_xll.BDH("DATA IN Equity","IS_DEPRECIATION_AND_AMORTIZATION","FY 2016","FY 2016","Currency=INR","Period=FY","BEST_FPERIOD_OVERRIDE=FY","FILING_STATUS=MR","EQY_CONSOLIDATED=Y","SCALING_FORMAT=MLN","FA_ADJUSTED=GAAP","Sort=A","Dates=H","DateFormat=P","Fill=—","Direction=H","UseDPDF=Y")</f>
        <v>#NAME?</v>
      </c>
      <c r="P13" s="13" t="e" cm="1">
        <f t="array" aca="1" ref="P13" ca="1">_xll.BDH("DATA IN Equity","IS_DEPRECIATION_AND_AMORTIZATION","FY 2017","FY 2017","Currency=INR","Period=FY","BEST_FPERIOD_OVERRIDE=FY","FILING_STATUS=MR","EQY_CONSOLIDATED=Y","SCALING_FORMAT=MLN","FA_ADJUSTED=GAAP","Sort=A","Dates=H","DateFormat=P","Fill=—","Direction=H","UseDPDF=Y")</f>
        <v>#NAME?</v>
      </c>
      <c r="Q13" s="13" t="e" cm="1">
        <f t="array" aca="1" ref="Q13" ca="1">_xll.BDH("DATA IN Equity","IS_DEPRECIATION_AND_AMORTIZATION","FY 2018","FY 2018","Currency=INR","Period=FY","BEST_FPERIOD_OVERRIDE=FY","FILING_STATUS=MR","EQY_CONSOLIDATED=Y","SCALING_FORMAT=MLN","FA_ADJUSTED=GAAP","Sort=A","Dates=H","DateFormat=P","Fill=—","Direction=H","UseDPDF=Y")</f>
        <v>#NAME?</v>
      </c>
      <c r="R13" s="13" t="e" cm="1">
        <f t="array" aca="1" ref="R13" ca="1">_xll.BDH("DATA IN Equity","IS_DEPRECIATION_AND_AMORTIZATION","FY 2019","FY 2019","Currency=INR","Period=FY","BEST_FPERIOD_OVERRIDE=FY","FILING_STATUS=MR","EQY_CONSOLIDATED=Y","SCALING_FORMAT=MLN","FA_ADJUSTED=GAAP","Sort=A","Dates=H","DateFormat=P","Fill=—","Direction=H","UseDPDF=Y")</f>
        <v>#NAME?</v>
      </c>
      <c r="S13" s="13" t="e" cm="1">
        <f t="array" aca="1" ref="S13" ca="1">_xll.BDH("DATA IN Equity","IS_DEPRECIATION_AND_AMORTIZATION","FY 2020","FY 2020","Currency=INR","Period=FY","BEST_FPERIOD_OVERRIDE=FY","FILING_STATUS=MR","EQY_CONSOLIDATED=Y","SCALING_FORMAT=MLN","FA_ADJUSTED=GAAP","Sort=A","Dates=H","DateFormat=P","Fill=—","Direction=H","UseDPDF=Y")</f>
        <v>#NAME?</v>
      </c>
      <c r="T13" s="13" t="e" cm="1">
        <f t="array" aca="1" ref="T13" ca="1">_xll.BDH("DATA IN Equity","IS_DEPRECIATION_AND_AMORTIZATION","FY 2021","FY 2021","Currency=INR","Period=FY","BEST_FPERIOD_OVERRIDE=FY","FILING_STATUS=MR","EQY_CONSOLIDATED=Y","SCALING_FORMAT=MLN","FA_ADJUSTED=GAAP","Sort=A","Dates=H","DateFormat=P","Fill=—","Direction=H","UseDPDF=Y")</f>
        <v>#NAME?</v>
      </c>
      <c r="U13" s="13" t="e" cm="1">
        <f t="array" aca="1" ref="U13" ca="1">_xll.BDH("DATA IN Equity","IS_DEPRECIATION_AND_AMORTIZATION","FY 2022","FY 2022","Currency=INR","Period=FY","BEST_FPERIOD_OVERRIDE=FY","FILING_STATUS=MR","EQY_CONSOLIDATED=Y","SCALING_FORMAT=MLN","FA_ADJUSTED=GAAP","Sort=A","Dates=H","DateFormat=P","Fill=—","Direction=H","UseDPDF=Y")</f>
        <v>#NAME?</v>
      </c>
      <c r="V13" s="13" t="e" cm="1">
        <f t="array" aca="1" ref="V13" ca="1">_xll.BDH("DATA IN Equity","IS_DEPRECIATION_AND_AMORTIZATION","FY 2023","FY 2023","Currency=INR","Period=FY","BEST_FPERIOD_OVERRIDE=FY","FILING_STATUS=MR","EQY_CONSOLIDATED=Y","SCALING_FORMAT=MLN","FA_ADJUSTED=GAAP","Sort=A","Dates=H","DateFormat=P","Fill=—","Direction=H","UseDPDF=Y")</f>
        <v>#NAME?</v>
      </c>
      <c r="W13" s="13" t="e" cm="1">
        <f t="array" aca="1" ref="W13" ca="1">_xll.BDH("DATA IN Equity","IS_DEPRECIATION_AND_AMORTIZATION","FY 2024","FY 2024","Currency=INR","Period=FY","BEST_FPERIOD_OVERRIDE=FY","FILING_STATUS=MR","EQY_CONSOLIDATED=Y","SCALING_FORMAT=MLN","FA_ADJUSTED=GAAP","Sort=A","Dates=H","DateFormat=P","Fill=—","Direction=H","UseDPDF=Y")</f>
        <v>#NAME?</v>
      </c>
      <c r="X13" s="13" t="e" cm="1">
        <f t="array" aca="1" ref="X13" ca="1">_xll.BDH("DATA IN Equity","IS_DEPRECIATION_AND_AMORTIZATION","FY 2025","FY 2025","Currency=INR","Period=FY","BEST_FPERIOD_OVERRIDE=FY","FILING_STATUS=MR","EQY_CONSOLIDATED=Y","SCALING_FORMAT=MLN","FA_ADJUSTED=GAAP","Sort=A","Dates=H","DateFormat=P","Fill=—","Direction=H","UseDPDF=Y")</f>
        <v>#NAME?</v>
      </c>
      <c r="Y13" s="16">
        <v>814.1</v>
      </c>
      <c r="Z13" s="13"/>
      <c r="AA13" s="13"/>
    </row>
    <row r="14" spans="1:27" x14ac:dyDescent="0.2">
      <c r="A14" s="10" t="s">
        <v>132</v>
      </c>
      <c r="B14" s="10" t="s">
        <v>133</v>
      </c>
      <c r="C14" s="13" t="e" cm="1">
        <f t="array" aca="1" ref="C14" ca="1">_xll.BDH("DATA IN Equity","IS_PROVISION_DOUBTFUL_ACCOUNTS","FY 2004","FY 2004","Currency=INR","Period=FY","BEST_FPERIOD_OVERRIDE=FY","FILING_STATUS=MR","EQY_CONSOLIDATED=Y","SCALING_FORMAT=MLN","FA_ADJUSTED=GAAP","Sort=A","Dates=H","DateFormat=P","Fill=—","Direction=H","UseDPDF=Y")</f>
        <v>#NAME?</v>
      </c>
      <c r="D14" s="13" t="e" cm="1">
        <f t="array" aca="1" ref="D14" ca="1">_xll.BDH("DATA IN Equity","IS_PROVISION_DOUBTFUL_ACCOUNTS","FY 2005","FY 2005","Currency=INR","Period=FY","BEST_FPERIOD_OVERRIDE=FY","FILING_STATUS=MR","EQY_CONSOLIDATED=Y","SCALING_FORMAT=MLN","FA_ADJUSTED=GAAP","Sort=A","Dates=H","DateFormat=P","Fill=—","Direction=H","UseDPDF=Y")</f>
        <v>#NAME?</v>
      </c>
      <c r="E14" s="13" t="e" cm="1">
        <f t="array" aca="1" ref="E14" ca="1">_xll.BDH("DATA IN Equity","IS_PROVISION_DOUBTFUL_ACCOUNTS","FY 2006","FY 2006","Currency=INR","Period=FY","BEST_FPERIOD_OVERRIDE=FY","FILING_STATUS=MR","EQY_CONSOLIDATED=Y","SCALING_FORMAT=MLN","FA_ADJUSTED=GAAP","Sort=A","Dates=H","DateFormat=P","Fill=—","Direction=H","UseDPDF=Y")</f>
        <v>#NAME?</v>
      </c>
      <c r="F14" s="13" t="e" cm="1">
        <f t="array" aca="1" ref="F14" ca="1">_xll.BDH("DATA IN Equity","IS_PROVISION_DOUBTFUL_ACCOUNTS","FY 2007","FY 2007","Currency=INR","Period=FY","BEST_FPERIOD_OVERRIDE=FY","FILING_STATUS=MR","EQY_CONSOLIDATED=Y","SCALING_FORMAT=MLN","FA_ADJUSTED=GAAP","Sort=A","Dates=H","DateFormat=P","Fill=—","Direction=H","UseDPDF=Y")</f>
        <v>#NAME?</v>
      </c>
      <c r="G14" s="13" t="e" cm="1">
        <f t="array" aca="1" ref="G14" ca="1">_xll.BDH("DATA IN Equity","IS_PROVISION_DOUBTFUL_ACCOUNTS","FY 2008","FY 2008","Currency=INR","Period=FY","BEST_FPERIOD_OVERRIDE=FY","FILING_STATUS=MR","EQY_CONSOLIDATED=Y","SCALING_FORMAT=MLN","FA_ADJUSTED=GAAP","Sort=A","Dates=H","DateFormat=P","Fill=—","Direction=H","UseDPDF=Y")</f>
        <v>#NAME?</v>
      </c>
      <c r="H14" s="13" t="e" cm="1">
        <f t="array" aca="1" ref="H14" ca="1">_xll.BDH("DATA IN Equity","IS_PROVISION_DOUBTFUL_ACCOUNTS","FY 2009","FY 2009","Currency=INR","Period=FY","BEST_FPERIOD_OVERRIDE=FY","FILING_STATUS=MR","EQY_CONSOLIDATED=Y","SCALING_FORMAT=MLN","FA_ADJUSTED=GAAP","Sort=A","Dates=H","DateFormat=P","Fill=—","Direction=H","UseDPDF=Y")</f>
        <v>#NAME?</v>
      </c>
      <c r="I14" s="13" t="e" cm="1">
        <f t="array" aca="1" ref="I14" ca="1">_xll.BDH("DATA IN Equity","IS_PROVISION_DOUBTFUL_ACCOUNTS","FY 2010","FY 2010","Currency=INR","Period=FY","BEST_FPERIOD_OVERRIDE=FY","FILING_STATUS=MR","EQY_CONSOLIDATED=Y","SCALING_FORMAT=MLN","FA_ADJUSTED=GAAP","Sort=A","Dates=H","DateFormat=P","Fill=—","Direction=H","UseDPDF=Y")</f>
        <v>#NAME?</v>
      </c>
      <c r="J14" s="13" t="e" cm="1">
        <f t="array" aca="1" ref="J14" ca="1">_xll.BDH("DATA IN Equity","IS_PROVISION_DOUBTFUL_ACCOUNTS","FY 2011","FY 2011","Currency=INR","Period=FY","BEST_FPERIOD_OVERRIDE=FY","FILING_STATUS=MR","EQY_CONSOLIDATED=Y","SCALING_FORMAT=MLN","FA_ADJUSTED=GAAP","Sort=A","Dates=H","DateFormat=P","Fill=—","Direction=H","UseDPDF=Y")</f>
        <v>#NAME?</v>
      </c>
      <c r="K14" s="13" t="e" cm="1">
        <f t="array" aca="1" ref="K14" ca="1">_xll.BDH("DATA IN Equity","IS_PROVISION_DOUBTFUL_ACCOUNTS","FY 2012","FY 2012","Currency=INR","Period=FY","BEST_FPERIOD_OVERRIDE=FY","FILING_STATUS=MR","EQY_CONSOLIDATED=Y","SCALING_FORMAT=MLN","FA_ADJUSTED=GAAP","Sort=A","Dates=H","DateFormat=P","Fill=—","Direction=H","UseDPDF=Y")</f>
        <v>#NAME?</v>
      </c>
      <c r="L14" s="13" t="e" cm="1">
        <f t="array" aca="1" ref="L14" ca="1">_xll.BDH("DATA IN Equity","IS_PROVISION_DOUBTFUL_ACCOUNTS","FY 2013","FY 2013","Currency=INR","Period=FY","BEST_FPERIOD_OVERRIDE=FY","FILING_STATUS=MR","EQY_CONSOLIDATED=Y","SCALING_FORMAT=MLN","FA_ADJUSTED=GAAP","Sort=A","Dates=H","DateFormat=P","Fill=—","Direction=H","UseDPDF=Y")</f>
        <v>#NAME?</v>
      </c>
      <c r="M14" s="13" t="e" cm="1">
        <f t="array" aca="1" ref="M14" ca="1">_xll.BDH("DATA IN Equity","IS_PROVISION_DOUBTFUL_ACCOUNTS","FY 2014","FY 2014","Currency=INR","Period=FY","BEST_FPERIOD_OVERRIDE=FY","FILING_STATUS=MR","EQY_CONSOLIDATED=Y","SCALING_FORMAT=MLN","FA_ADJUSTED=GAAP","Sort=A","Dates=H","DateFormat=P","Fill=—","Direction=H","UseDPDF=Y")</f>
        <v>#NAME?</v>
      </c>
      <c r="N14" s="13" t="e" cm="1">
        <f t="array" aca="1" ref="N14" ca="1">_xll.BDH("DATA IN Equity","IS_PROVISION_DOUBTFUL_ACCOUNTS","FY 2015","FY 2015","Currency=INR","Period=FY","BEST_FPERIOD_OVERRIDE=FY","FILING_STATUS=MR","EQY_CONSOLIDATED=Y","SCALING_FORMAT=MLN","FA_ADJUSTED=GAAP","Sort=A","Dates=H","DateFormat=P","Fill=—","Direction=H","UseDPDF=Y")</f>
        <v>#NAME?</v>
      </c>
      <c r="O14" s="13" t="e" cm="1">
        <f t="array" aca="1" ref="O14" ca="1">_xll.BDH("DATA IN Equity","IS_PROVISION_DOUBTFUL_ACCOUNTS","FY 2016","FY 2016","Currency=INR","Period=FY","BEST_FPERIOD_OVERRIDE=FY","FILING_STATUS=MR","EQY_CONSOLIDATED=Y","SCALING_FORMAT=MLN","FA_ADJUSTED=GAAP","Sort=A","Dates=H","DateFormat=P","Fill=—","Direction=H","UseDPDF=Y")</f>
        <v>#NAME?</v>
      </c>
      <c r="P14" s="13" t="e" cm="1">
        <f t="array" aca="1" ref="P14" ca="1">_xll.BDH("DATA IN Equity","IS_PROVISION_DOUBTFUL_ACCOUNTS","FY 2017","FY 2017","Currency=INR","Period=FY","BEST_FPERIOD_OVERRIDE=FY","FILING_STATUS=MR","EQY_CONSOLIDATED=Y","SCALING_FORMAT=MLN","FA_ADJUSTED=GAAP","Sort=A","Dates=H","DateFormat=P","Fill=—","Direction=H","UseDPDF=Y")</f>
        <v>#NAME?</v>
      </c>
      <c r="Q14" s="13" t="e" cm="1">
        <f t="array" aca="1" ref="Q14" ca="1">_xll.BDH("DATA IN Equity","IS_PROVISION_DOUBTFUL_ACCOUNTS","FY 2018","FY 2018","Currency=INR","Period=FY","BEST_FPERIOD_OVERRIDE=FY","FILING_STATUS=MR","EQY_CONSOLIDATED=Y","SCALING_FORMAT=MLN","FA_ADJUSTED=GAAP","Sort=A","Dates=H","DateFormat=P","Fill=—","Direction=H","UseDPDF=Y")</f>
        <v>#NAME?</v>
      </c>
      <c r="R14" s="13" t="e" cm="1">
        <f t="array" aca="1" ref="R14" ca="1">_xll.BDH("DATA IN Equity","IS_PROVISION_DOUBTFUL_ACCOUNTS","FY 2019","FY 2019","Currency=INR","Period=FY","BEST_FPERIOD_OVERRIDE=FY","FILING_STATUS=MR","EQY_CONSOLIDATED=Y","SCALING_FORMAT=MLN","FA_ADJUSTED=GAAP","Sort=A","Dates=H","DateFormat=P","Fill=—","Direction=H","UseDPDF=Y")</f>
        <v>#NAME?</v>
      </c>
      <c r="S14" s="13" t="e" cm="1">
        <f t="array" aca="1" ref="S14" ca="1">_xll.BDH("DATA IN Equity","IS_PROVISION_DOUBTFUL_ACCOUNTS","FY 2020","FY 2020","Currency=INR","Period=FY","BEST_FPERIOD_OVERRIDE=FY","FILING_STATUS=MR","EQY_CONSOLIDATED=Y","SCALING_FORMAT=MLN","FA_ADJUSTED=GAAP","Sort=A","Dates=H","DateFormat=P","Fill=—","Direction=H","UseDPDF=Y")</f>
        <v>#NAME?</v>
      </c>
      <c r="T14" s="13" t="e" cm="1">
        <f t="array" aca="1" ref="T14" ca="1">_xll.BDH("DATA IN Equity","IS_PROVISION_DOUBTFUL_ACCOUNTS","FY 2021","FY 2021","Currency=INR","Period=FY","BEST_FPERIOD_OVERRIDE=FY","FILING_STATUS=MR","EQY_CONSOLIDATED=Y","SCALING_FORMAT=MLN","FA_ADJUSTED=GAAP","Sort=A","Dates=H","DateFormat=P","Fill=—","Direction=H","UseDPDF=Y")</f>
        <v>#NAME?</v>
      </c>
      <c r="U14" s="13" t="e" cm="1">
        <f t="array" aca="1" ref="U14" ca="1">_xll.BDH("DATA IN Equity","IS_PROVISION_DOUBTFUL_ACCOUNTS","FY 2022","FY 2022","Currency=INR","Period=FY","BEST_FPERIOD_OVERRIDE=FY","FILING_STATUS=MR","EQY_CONSOLIDATED=Y","SCALING_FORMAT=MLN","FA_ADJUSTED=GAAP","Sort=A","Dates=H","DateFormat=P","Fill=—","Direction=H","UseDPDF=Y")</f>
        <v>#NAME?</v>
      </c>
      <c r="V14" s="13" t="e" cm="1">
        <f t="array" aca="1" ref="V14" ca="1">_xll.BDH("DATA IN Equity","IS_PROVISION_DOUBTFUL_ACCOUNTS","FY 2023","FY 2023","Currency=INR","Period=FY","BEST_FPERIOD_OVERRIDE=FY","FILING_STATUS=MR","EQY_CONSOLIDATED=Y","SCALING_FORMAT=MLN","FA_ADJUSTED=GAAP","Sort=A","Dates=H","DateFormat=P","Fill=—","Direction=H","UseDPDF=Y")</f>
        <v>#NAME?</v>
      </c>
      <c r="W14" s="13" t="e" cm="1">
        <f t="array" aca="1" ref="W14" ca="1">_xll.BDH("DATA IN Equity","IS_PROVISION_DOUBTFUL_ACCOUNTS","FY 2024","FY 2024","Currency=INR","Period=FY","BEST_FPERIOD_OVERRIDE=FY","FILING_STATUS=MR","EQY_CONSOLIDATED=Y","SCALING_FORMAT=MLN","FA_ADJUSTED=GAAP","Sort=A","Dates=H","DateFormat=P","Fill=—","Direction=H","UseDPDF=Y")</f>
        <v>#NAME?</v>
      </c>
      <c r="X14" s="13" t="e" cm="1">
        <f t="array" aca="1" ref="X14" ca="1">_xll.BDH("DATA IN Equity","IS_PROVISION_DOUBTFUL_ACCOUNTS","FY 2025","FY 2025","Currency=INR","Period=FY","BEST_FPERIOD_OVERRIDE=FY","FILING_STATUS=MR","EQY_CONSOLIDATED=Y","SCALING_FORMAT=MLN","FA_ADJUSTED=GAAP","Sort=A","Dates=H","DateFormat=P","Fill=—","Direction=H","UseDPDF=Y")</f>
        <v>#NAME?</v>
      </c>
      <c r="Y14" s="16"/>
      <c r="Z14" s="13"/>
      <c r="AA14" s="13"/>
    </row>
    <row r="15" spans="1:27" x14ac:dyDescent="0.2">
      <c r="A15" s="10" t="s">
        <v>134</v>
      </c>
      <c r="B15" s="10" t="s">
        <v>135</v>
      </c>
      <c r="C15" s="13" t="e" cm="1">
        <f t="array" aca="1" ref="C15" ca="1">_xll.BDH("DATA IN Equity","OTHER_OPERATING_EXPENSES_RATIO","FY 2004","FY 2004","Currency=INR","Period=FY","BEST_FPERIOD_OVERRIDE=FY","FILING_STATUS=MR","EQY_CONSOLIDATED=Y","SCALING_FORMAT=MLN","FA_ADJUSTED=GAAP","Sort=A","Dates=H","DateFormat=P","Fill=—","Direction=H","UseDPDF=Y")</f>
        <v>#NAME?</v>
      </c>
      <c r="D15" s="13" t="e" cm="1">
        <f t="array" aca="1" ref="D15" ca="1">_xll.BDH("DATA IN Equity","OTHER_OPERATING_EXPENSES_RATIO","FY 2005","FY 2005","Currency=INR","Period=FY","BEST_FPERIOD_OVERRIDE=FY","FILING_STATUS=MR","EQY_CONSOLIDATED=Y","SCALING_FORMAT=MLN","FA_ADJUSTED=GAAP","Sort=A","Dates=H","DateFormat=P","Fill=—","Direction=H","UseDPDF=Y")</f>
        <v>#NAME?</v>
      </c>
      <c r="E15" s="13" t="e" cm="1">
        <f t="array" aca="1" ref="E15" ca="1">_xll.BDH("DATA IN Equity","OTHER_OPERATING_EXPENSES_RATIO","FY 2006","FY 2006","Currency=INR","Period=FY","BEST_FPERIOD_OVERRIDE=FY","FILING_STATUS=MR","EQY_CONSOLIDATED=Y","SCALING_FORMAT=MLN","FA_ADJUSTED=GAAP","Sort=A","Dates=H","DateFormat=P","Fill=—","Direction=H","UseDPDF=Y")</f>
        <v>#NAME?</v>
      </c>
      <c r="F15" s="13" t="e" cm="1">
        <f t="array" aca="1" ref="F15" ca="1">_xll.BDH("DATA IN Equity","OTHER_OPERATING_EXPENSES_RATIO","FY 2007","FY 2007","Currency=INR","Period=FY","BEST_FPERIOD_OVERRIDE=FY","FILING_STATUS=MR","EQY_CONSOLIDATED=Y","SCALING_FORMAT=MLN","FA_ADJUSTED=GAAP","Sort=A","Dates=H","DateFormat=P","Fill=—","Direction=H","UseDPDF=Y")</f>
        <v>#NAME?</v>
      </c>
      <c r="G15" s="13" t="e" cm="1">
        <f t="array" aca="1" ref="G15" ca="1">_xll.BDH("DATA IN Equity","OTHER_OPERATING_EXPENSES_RATIO","FY 2008","FY 2008","Currency=INR","Period=FY","BEST_FPERIOD_OVERRIDE=FY","FILING_STATUS=MR","EQY_CONSOLIDATED=Y","SCALING_FORMAT=MLN","FA_ADJUSTED=GAAP","Sort=A","Dates=H","DateFormat=P","Fill=—","Direction=H","UseDPDF=Y")</f>
        <v>#NAME?</v>
      </c>
      <c r="H15" s="13" t="e" cm="1">
        <f t="array" aca="1" ref="H15" ca="1">_xll.BDH("DATA IN Equity","OTHER_OPERATING_EXPENSES_RATIO","FY 2009","FY 2009","Currency=INR","Period=FY","BEST_FPERIOD_OVERRIDE=FY","FILING_STATUS=MR","EQY_CONSOLIDATED=Y","SCALING_FORMAT=MLN","FA_ADJUSTED=GAAP","Sort=A","Dates=H","DateFormat=P","Fill=—","Direction=H","UseDPDF=Y")</f>
        <v>#NAME?</v>
      </c>
      <c r="I15" s="13" t="e" cm="1">
        <f t="array" aca="1" ref="I15" ca="1">_xll.BDH("DATA IN Equity","OTHER_OPERATING_EXPENSES_RATIO","FY 2010","FY 2010","Currency=INR","Period=FY","BEST_FPERIOD_OVERRIDE=FY","FILING_STATUS=MR","EQY_CONSOLIDATED=Y","SCALING_FORMAT=MLN","FA_ADJUSTED=GAAP","Sort=A","Dates=H","DateFormat=P","Fill=—","Direction=H","UseDPDF=Y")</f>
        <v>#NAME?</v>
      </c>
      <c r="J15" s="13" t="e" cm="1">
        <f t="array" aca="1" ref="J15" ca="1">_xll.BDH("DATA IN Equity","OTHER_OPERATING_EXPENSES_RATIO","FY 2011","FY 2011","Currency=INR","Period=FY","BEST_FPERIOD_OVERRIDE=FY","FILING_STATUS=MR","EQY_CONSOLIDATED=Y","SCALING_FORMAT=MLN","FA_ADJUSTED=GAAP","Sort=A","Dates=H","DateFormat=P","Fill=—","Direction=H","UseDPDF=Y")</f>
        <v>#NAME?</v>
      </c>
      <c r="K15" s="13" t="e" cm="1">
        <f t="array" aca="1" ref="K15" ca="1">_xll.BDH("DATA IN Equity","OTHER_OPERATING_EXPENSES_RATIO","FY 2012","FY 2012","Currency=INR","Period=FY","BEST_FPERIOD_OVERRIDE=FY","FILING_STATUS=MR","EQY_CONSOLIDATED=Y","SCALING_FORMAT=MLN","FA_ADJUSTED=GAAP","Sort=A","Dates=H","DateFormat=P","Fill=—","Direction=H","UseDPDF=Y")</f>
        <v>#NAME?</v>
      </c>
      <c r="L15" s="13" t="e" cm="1">
        <f t="array" aca="1" ref="L15" ca="1">_xll.BDH("DATA IN Equity","OTHER_OPERATING_EXPENSES_RATIO","FY 2013","FY 2013","Currency=INR","Period=FY","BEST_FPERIOD_OVERRIDE=FY","FILING_STATUS=MR","EQY_CONSOLIDATED=Y","SCALING_FORMAT=MLN","FA_ADJUSTED=GAAP","Sort=A","Dates=H","DateFormat=P","Fill=—","Direction=H","UseDPDF=Y")</f>
        <v>#NAME?</v>
      </c>
      <c r="M15" s="13" t="e" cm="1">
        <f t="array" aca="1" ref="M15" ca="1">_xll.BDH("DATA IN Equity","OTHER_OPERATING_EXPENSES_RATIO","FY 2014","FY 2014","Currency=INR","Period=FY","BEST_FPERIOD_OVERRIDE=FY","FILING_STATUS=MR","EQY_CONSOLIDATED=Y","SCALING_FORMAT=MLN","FA_ADJUSTED=GAAP","Sort=A","Dates=H","DateFormat=P","Fill=—","Direction=H","UseDPDF=Y")</f>
        <v>#NAME?</v>
      </c>
      <c r="N15" s="13" t="e" cm="1">
        <f t="array" aca="1" ref="N15" ca="1">_xll.BDH("DATA IN Equity","OTHER_OPERATING_EXPENSES_RATIO","FY 2015","FY 2015","Currency=INR","Period=FY","BEST_FPERIOD_OVERRIDE=FY","FILING_STATUS=MR","EQY_CONSOLIDATED=Y","SCALING_FORMAT=MLN","FA_ADJUSTED=GAAP","Sort=A","Dates=H","DateFormat=P","Fill=—","Direction=H","UseDPDF=Y")</f>
        <v>#NAME?</v>
      </c>
      <c r="O15" s="13" t="e" cm="1">
        <f t="array" aca="1" ref="O15" ca="1">_xll.BDH("DATA IN Equity","OTHER_OPERATING_EXPENSES_RATIO","FY 2016","FY 2016","Currency=INR","Period=FY","BEST_FPERIOD_OVERRIDE=FY","FILING_STATUS=MR","EQY_CONSOLIDATED=Y","SCALING_FORMAT=MLN","FA_ADJUSTED=GAAP","Sort=A","Dates=H","DateFormat=P","Fill=—","Direction=H","UseDPDF=Y")</f>
        <v>#NAME?</v>
      </c>
      <c r="P15" s="13" t="e" cm="1">
        <f t="array" aca="1" ref="P15" ca="1">_xll.BDH("DATA IN Equity","OTHER_OPERATING_EXPENSES_RATIO","FY 2017","FY 2017","Currency=INR","Period=FY","BEST_FPERIOD_OVERRIDE=FY","FILING_STATUS=MR","EQY_CONSOLIDATED=Y","SCALING_FORMAT=MLN","FA_ADJUSTED=GAAP","Sort=A","Dates=H","DateFormat=P","Fill=—","Direction=H","UseDPDF=Y")</f>
        <v>#NAME?</v>
      </c>
      <c r="Q15" s="13" t="e" cm="1">
        <f t="array" aca="1" ref="Q15" ca="1">_xll.BDH("DATA IN Equity","OTHER_OPERATING_EXPENSES_RATIO","FY 2018","FY 2018","Currency=INR","Period=FY","BEST_FPERIOD_OVERRIDE=FY","FILING_STATUS=MR","EQY_CONSOLIDATED=Y","SCALING_FORMAT=MLN","FA_ADJUSTED=GAAP","Sort=A","Dates=H","DateFormat=P","Fill=—","Direction=H","UseDPDF=Y")</f>
        <v>#NAME?</v>
      </c>
      <c r="R15" s="13" t="e" cm="1">
        <f t="array" aca="1" ref="R15" ca="1">_xll.BDH("DATA IN Equity","OTHER_OPERATING_EXPENSES_RATIO","FY 2019","FY 2019","Currency=INR","Period=FY","BEST_FPERIOD_OVERRIDE=FY","FILING_STATUS=MR","EQY_CONSOLIDATED=Y","SCALING_FORMAT=MLN","FA_ADJUSTED=GAAP","Sort=A","Dates=H","DateFormat=P","Fill=—","Direction=H","UseDPDF=Y")</f>
        <v>#NAME?</v>
      </c>
      <c r="S15" s="13" t="e" cm="1">
        <f t="array" aca="1" ref="S15" ca="1">_xll.BDH("DATA IN Equity","OTHER_OPERATING_EXPENSES_RATIO","FY 2020","FY 2020","Currency=INR","Period=FY","BEST_FPERIOD_OVERRIDE=FY","FILING_STATUS=MR","EQY_CONSOLIDATED=Y","SCALING_FORMAT=MLN","FA_ADJUSTED=GAAP","Sort=A","Dates=H","DateFormat=P","Fill=—","Direction=H","UseDPDF=Y")</f>
        <v>#NAME?</v>
      </c>
      <c r="T15" s="13" t="e" cm="1">
        <f t="array" aca="1" ref="T15" ca="1">_xll.BDH("DATA IN Equity","OTHER_OPERATING_EXPENSES_RATIO","FY 2021","FY 2021","Currency=INR","Period=FY","BEST_FPERIOD_OVERRIDE=FY","FILING_STATUS=MR","EQY_CONSOLIDATED=Y","SCALING_FORMAT=MLN","FA_ADJUSTED=GAAP","Sort=A","Dates=H","DateFormat=P","Fill=—","Direction=H","UseDPDF=Y")</f>
        <v>#NAME?</v>
      </c>
      <c r="U15" s="13" t="e" cm="1">
        <f t="array" aca="1" ref="U15" ca="1">_xll.BDH("DATA IN Equity","OTHER_OPERATING_EXPENSES_RATIO","FY 2022","FY 2022","Currency=INR","Period=FY","BEST_FPERIOD_OVERRIDE=FY","FILING_STATUS=MR","EQY_CONSOLIDATED=Y","SCALING_FORMAT=MLN","FA_ADJUSTED=GAAP","Sort=A","Dates=H","DateFormat=P","Fill=—","Direction=H","UseDPDF=Y")</f>
        <v>#NAME?</v>
      </c>
      <c r="V15" s="13" t="e" cm="1">
        <f t="array" aca="1" ref="V15" ca="1">_xll.BDH("DATA IN Equity","OTHER_OPERATING_EXPENSES_RATIO","FY 2023","FY 2023","Currency=INR","Period=FY","BEST_FPERIOD_OVERRIDE=FY","FILING_STATUS=MR","EQY_CONSOLIDATED=Y","SCALING_FORMAT=MLN","FA_ADJUSTED=GAAP","Sort=A","Dates=H","DateFormat=P","Fill=—","Direction=H","UseDPDF=Y")</f>
        <v>#NAME?</v>
      </c>
      <c r="W15" s="13" t="e" cm="1">
        <f t="array" aca="1" ref="W15" ca="1">_xll.BDH("DATA IN Equity","OTHER_OPERATING_EXPENSES_RATIO","FY 2024","FY 2024","Currency=INR","Period=FY","BEST_FPERIOD_OVERRIDE=FY","FILING_STATUS=MR","EQY_CONSOLIDATED=Y","SCALING_FORMAT=MLN","FA_ADJUSTED=GAAP","Sort=A","Dates=H","DateFormat=P","Fill=—","Direction=H","UseDPDF=Y")</f>
        <v>#NAME?</v>
      </c>
      <c r="X15" s="13" t="e" cm="1">
        <f t="array" aca="1" ref="X15" ca="1">_xll.BDH("DATA IN Equity","OTHER_OPERATING_EXPENSES_RATIO","FY 2025","FY 2025","Currency=INR","Period=FY","BEST_FPERIOD_OVERRIDE=FY","FILING_STATUS=MR","EQY_CONSOLIDATED=Y","SCALING_FORMAT=MLN","FA_ADJUSTED=GAAP","Sort=A","Dates=H","DateFormat=P","Fill=—","Direction=H","UseDPDF=Y")</f>
        <v>#NAME?</v>
      </c>
      <c r="Y15" s="16">
        <v>16696.5</v>
      </c>
      <c r="Z15" s="13"/>
      <c r="AA15" s="13"/>
    </row>
    <row r="16" spans="1:27" x14ac:dyDescent="0.2">
      <c r="A16" s="6" t="s">
        <v>136</v>
      </c>
      <c r="B16" s="6" t="s">
        <v>137</v>
      </c>
      <c r="C16" s="19" t="e" cm="1">
        <f t="array" aca="1" ref="C16" ca="1">_xll.BDH("DATA IN Equity","IS_OPER_INC","FY 2004","FY 2004","Currency=INR","Period=FY","BEST_FPERIOD_OVERRIDE=FY","FILING_STATUS=MR","EQY_CONSOLIDATED=Y","SCALING_FORMAT=MLN","FA_ADJUSTED=GAAP","Sort=A","Dates=H","DateFormat=P","Fill=—","Direction=H","UseDPDF=Y")</f>
        <v>#NAME?</v>
      </c>
      <c r="D16" s="19" t="e" cm="1">
        <f t="array" aca="1" ref="D16" ca="1">_xll.BDH("DATA IN Equity","IS_OPER_INC","FY 2005","FY 2005","Currency=INR","Period=FY","BEST_FPERIOD_OVERRIDE=FY","FILING_STATUS=MR","EQY_CONSOLIDATED=Y","SCALING_FORMAT=MLN","FA_ADJUSTED=GAAP","Sort=A","Dates=H","DateFormat=P","Fill=—","Direction=H","UseDPDF=Y")</f>
        <v>#NAME?</v>
      </c>
      <c r="E16" s="19" t="e" cm="1">
        <f t="array" aca="1" ref="E16" ca="1">_xll.BDH("DATA IN Equity","IS_OPER_INC","FY 2006","FY 2006","Currency=INR","Period=FY","BEST_FPERIOD_OVERRIDE=FY","FILING_STATUS=MR","EQY_CONSOLIDATED=Y","SCALING_FORMAT=MLN","FA_ADJUSTED=GAAP","Sort=A","Dates=H","DateFormat=P","Fill=—","Direction=H","UseDPDF=Y")</f>
        <v>#NAME?</v>
      </c>
      <c r="F16" s="19" t="e" cm="1">
        <f t="array" aca="1" ref="F16" ca="1">_xll.BDH("DATA IN Equity","IS_OPER_INC","FY 2007","FY 2007","Currency=INR","Period=FY","BEST_FPERIOD_OVERRIDE=FY","FILING_STATUS=MR","EQY_CONSOLIDATED=Y","SCALING_FORMAT=MLN","FA_ADJUSTED=GAAP","Sort=A","Dates=H","DateFormat=P","Fill=—","Direction=H","UseDPDF=Y")</f>
        <v>#NAME?</v>
      </c>
      <c r="G16" s="19" t="e" cm="1">
        <f t="array" aca="1" ref="G16" ca="1">_xll.BDH("DATA IN Equity","IS_OPER_INC","FY 2008","FY 2008","Currency=INR","Period=FY","BEST_FPERIOD_OVERRIDE=FY","FILING_STATUS=MR","EQY_CONSOLIDATED=Y","SCALING_FORMAT=MLN","FA_ADJUSTED=GAAP","Sort=A","Dates=H","DateFormat=P","Fill=—","Direction=H","UseDPDF=Y")</f>
        <v>#NAME?</v>
      </c>
      <c r="H16" s="19" t="e" cm="1">
        <f t="array" aca="1" ref="H16" ca="1">_xll.BDH("DATA IN Equity","IS_OPER_INC","FY 2009","FY 2009","Currency=INR","Period=FY","BEST_FPERIOD_OVERRIDE=FY","FILING_STATUS=MR","EQY_CONSOLIDATED=Y","SCALING_FORMAT=MLN","FA_ADJUSTED=GAAP","Sort=A","Dates=H","DateFormat=P","Fill=—","Direction=H","UseDPDF=Y")</f>
        <v>#NAME?</v>
      </c>
      <c r="I16" s="19" t="e" cm="1">
        <f t="array" aca="1" ref="I16" ca="1">_xll.BDH("DATA IN Equity","IS_OPER_INC","FY 2010","FY 2010","Currency=INR","Period=FY","BEST_FPERIOD_OVERRIDE=FY","FILING_STATUS=MR","EQY_CONSOLIDATED=Y","SCALING_FORMAT=MLN","FA_ADJUSTED=GAAP","Sort=A","Dates=H","DateFormat=P","Fill=—","Direction=H","UseDPDF=Y")</f>
        <v>#NAME?</v>
      </c>
      <c r="J16" s="19" t="e" cm="1">
        <f t="array" aca="1" ref="J16" ca="1">_xll.BDH("DATA IN Equity","IS_OPER_INC","FY 2011","FY 2011","Currency=INR","Period=FY","BEST_FPERIOD_OVERRIDE=FY","FILING_STATUS=MR","EQY_CONSOLIDATED=Y","SCALING_FORMAT=MLN","FA_ADJUSTED=GAAP","Sort=A","Dates=H","DateFormat=P","Fill=—","Direction=H","UseDPDF=Y")</f>
        <v>#NAME?</v>
      </c>
      <c r="K16" s="19" t="e" cm="1">
        <f t="array" aca="1" ref="K16" ca="1">_xll.BDH("DATA IN Equity","IS_OPER_INC","FY 2012","FY 2012","Currency=INR","Period=FY","BEST_FPERIOD_OVERRIDE=FY","FILING_STATUS=MR","EQY_CONSOLIDATED=Y","SCALING_FORMAT=MLN","FA_ADJUSTED=GAAP","Sort=A","Dates=H","DateFormat=P","Fill=—","Direction=H","UseDPDF=Y")</f>
        <v>#NAME?</v>
      </c>
      <c r="L16" s="19" t="e" cm="1">
        <f t="array" aca="1" ref="L16" ca="1">_xll.BDH("DATA IN Equity","IS_OPER_INC","FY 2013","FY 2013","Currency=INR","Period=FY","BEST_FPERIOD_OVERRIDE=FY","FILING_STATUS=MR","EQY_CONSOLIDATED=Y","SCALING_FORMAT=MLN","FA_ADJUSTED=GAAP","Sort=A","Dates=H","DateFormat=P","Fill=—","Direction=H","UseDPDF=Y")</f>
        <v>#NAME?</v>
      </c>
      <c r="M16" s="19" t="e" cm="1">
        <f t="array" aca="1" ref="M16" ca="1">_xll.BDH("DATA IN Equity","IS_OPER_INC","FY 2014","FY 2014","Currency=INR","Period=FY","BEST_FPERIOD_OVERRIDE=FY","FILING_STATUS=MR","EQY_CONSOLIDATED=Y","SCALING_FORMAT=MLN","FA_ADJUSTED=GAAP","Sort=A","Dates=H","DateFormat=P","Fill=—","Direction=H","UseDPDF=Y")</f>
        <v>#NAME?</v>
      </c>
      <c r="N16" s="19" t="e" cm="1">
        <f t="array" aca="1" ref="N16" ca="1">_xll.BDH("DATA IN Equity","IS_OPER_INC","FY 2015","FY 2015","Currency=INR","Period=FY","BEST_FPERIOD_OVERRIDE=FY","FILING_STATUS=MR","EQY_CONSOLIDATED=Y","SCALING_FORMAT=MLN","FA_ADJUSTED=GAAP","Sort=A","Dates=H","DateFormat=P","Fill=—","Direction=H","UseDPDF=Y")</f>
        <v>#NAME?</v>
      </c>
      <c r="O16" s="19" t="e" cm="1">
        <f t="array" aca="1" ref="O16" ca="1">_xll.BDH("DATA IN Equity","IS_OPER_INC","FY 2016","FY 2016","Currency=INR","Period=FY","BEST_FPERIOD_OVERRIDE=FY","FILING_STATUS=MR","EQY_CONSOLIDATED=Y","SCALING_FORMAT=MLN","FA_ADJUSTED=GAAP","Sort=A","Dates=H","DateFormat=P","Fill=—","Direction=H","UseDPDF=Y")</f>
        <v>#NAME?</v>
      </c>
      <c r="P16" s="19" t="e" cm="1">
        <f t="array" aca="1" ref="P16" ca="1">_xll.BDH("DATA IN Equity","IS_OPER_INC","FY 2017","FY 2017","Currency=INR","Period=FY","BEST_FPERIOD_OVERRIDE=FY","FILING_STATUS=MR","EQY_CONSOLIDATED=Y","SCALING_FORMAT=MLN","FA_ADJUSTED=GAAP","Sort=A","Dates=H","DateFormat=P","Fill=—","Direction=H","UseDPDF=Y")</f>
        <v>#NAME?</v>
      </c>
      <c r="Q16" s="19" t="e" cm="1">
        <f t="array" aca="1" ref="Q16" ca="1">_xll.BDH("DATA IN Equity","IS_OPER_INC","FY 2018","FY 2018","Currency=INR","Period=FY","BEST_FPERIOD_OVERRIDE=FY","FILING_STATUS=MR","EQY_CONSOLIDATED=Y","SCALING_FORMAT=MLN","FA_ADJUSTED=GAAP","Sort=A","Dates=H","DateFormat=P","Fill=—","Direction=H","UseDPDF=Y")</f>
        <v>#NAME?</v>
      </c>
      <c r="R16" s="19" t="e" cm="1">
        <f t="array" aca="1" ref="R16" ca="1">_xll.BDH("DATA IN Equity","IS_OPER_INC","FY 2019","FY 2019","Currency=INR","Period=FY","BEST_FPERIOD_OVERRIDE=FY","FILING_STATUS=MR","EQY_CONSOLIDATED=Y","SCALING_FORMAT=MLN","FA_ADJUSTED=GAAP","Sort=A","Dates=H","DateFormat=P","Fill=—","Direction=H","UseDPDF=Y")</f>
        <v>#NAME?</v>
      </c>
      <c r="S16" s="19" t="e" cm="1">
        <f t="array" aca="1" ref="S16" ca="1">_xll.BDH("DATA IN Equity","IS_OPER_INC","FY 2020","FY 2020","Currency=INR","Period=FY","BEST_FPERIOD_OVERRIDE=FY","FILING_STATUS=MR","EQY_CONSOLIDATED=Y","SCALING_FORMAT=MLN","FA_ADJUSTED=GAAP","Sort=A","Dates=H","DateFormat=P","Fill=—","Direction=H","UseDPDF=Y")</f>
        <v>#NAME?</v>
      </c>
      <c r="T16" s="19" t="e" cm="1">
        <f t="array" aca="1" ref="T16" ca="1">_xll.BDH("DATA IN Equity","IS_OPER_INC","FY 2021","FY 2021","Currency=INR","Period=FY","BEST_FPERIOD_OVERRIDE=FY","FILING_STATUS=MR","EQY_CONSOLIDATED=Y","SCALING_FORMAT=MLN","FA_ADJUSTED=GAAP","Sort=A","Dates=H","DateFormat=P","Fill=—","Direction=H","UseDPDF=Y")</f>
        <v>#NAME?</v>
      </c>
      <c r="U16" s="19" t="e" cm="1">
        <f t="array" aca="1" ref="U16" ca="1">_xll.BDH("DATA IN Equity","IS_OPER_INC","FY 2022","FY 2022","Currency=INR","Period=FY","BEST_FPERIOD_OVERRIDE=FY","FILING_STATUS=MR","EQY_CONSOLIDATED=Y","SCALING_FORMAT=MLN","FA_ADJUSTED=GAAP","Sort=A","Dates=H","DateFormat=P","Fill=—","Direction=H","UseDPDF=Y")</f>
        <v>#NAME?</v>
      </c>
      <c r="V16" s="19" t="e" cm="1">
        <f t="array" aca="1" ref="V16" ca="1">_xll.BDH("DATA IN Equity","IS_OPER_INC","FY 2023","FY 2023","Currency=INR","Period=FY","BEST_FPERIOD_OVERRIDE=FY","FILING_STATUS=MR","EQY_CONSOLIDATED=Y","SCALING_FORMAT=MLN","FA_ADJUSTED=GAAP","Sort=A","Dates=H","DateFormat=P","Fill=—","Direction=H","UseDPDF=Y")</f>
        <v>#NAME?</v>
      </c>
      <c r="W16" s="19" t="e" cm="1">
        <f t="array" aca="1" ref="W16" ca="1">_xll.BDH("DATA IN Equity","IS_OPER_INC","FY 2024","FY 2024","Currency=INR","Period=FY","BEST_FPERIOD_OVERRIDE=FY","FILING_STATUS=MR","EQY_CONSOLIDATED=Y","SCALING_FORMAT=MLN","FA_ADJUSTED=GAAP","Sort=A","Dates=H","DateFormat=P","Fill=—","Direction=H","UseDPDF=Y")</f>
        <v>#NAME?</v>
      </c>
      <c r="X16" s="19" t="e" cm="1">
        <f t="array" aca="1" ref="X16" ca="1">_xll.BDH("DATA IN Equity","IS_OPER_INC","FY 2025","FY 2025","Currency=INR","Period=FY","BEST_FPERIOD_OVERRIDE=FY","FILING_STATUS=MR","EQY_CONSOLIDATED=Y","SCALING_FORMAT=MLN","FA_ADJUSTED=GAAP","Sort=A","Dates=H","DateFormat=P","Fill=—","Direction=H","UseDPDF=Y")</f>
        <v>#NAME?</v>
      </c>
      <c r="Y16" s="22">
        <v>2139.8000000000002</v>
      </c>
      <c r="Z16" s="19">
        <v>2721</v>
      </c>
      <c r="AA16" s="19">
        <v>3072</v>
      </c>
    </row>
    <row r="17" spans="1:27" x14ac:dyDescent="0.2">
      <c r="A17" s="10" t="s">
        <v>138</v>
      </c>
      <c r="B17" s="10" t="s">
        <v>139</v>
      </c>
      <c r="C17" s="13" t="e" cm="1">
        <f t="array" aca="1" ref="C17" ca="1">_xll.BDH("DATA IN Equity","NONOP_INCOME_LOSS","FY 2004","FY 2004","Currency=INR","Period=FY","BEST_FPERIOD_OVERRIDE=FY","FILING_STATUS=MR","EQY_CONSOLIDATED=Y","SCALING_FORMAT=MLN","FA_ADJUSTED=GAAP","Sort=A","Dates=H","DateFormat=P","Fill=—","Direction=H","UseDPDF=Y")</f>
        <v>#NAME?</v>
      </c>
      <c r="D17" s="13" t="e" cm="1">
        <f t="array" aca="1" ref="D17" ca="1">_xll.BDH("DATA IN Equity","NONOP_INCOME_LOSS","FY 2005","FY 2005","Currency=INR","Period=FY","BEST_FPERIOD_OVERRIDE=FY","FILING_STATUS=MR","EQY_CONSOLIDATED=Y","SCALING_FORMAT=MLN","FA_ADJUSTED=GAAP","Sort=A","Dates=H","DateFormat=P","Fill=—","Direction=H","UseDPDF=Y")</f>
        <v>#NAME?</v>
      </c>
      <c r="E17" s="13" t="e" cm="1">
        <f t="array" aca="1" ref="E17" ca="1">_xll.BDH("DATA IN Equity","NONOP_INCOME_LOSS","FY 2006","FY 2006","Currency=INR","Period=FY","BEST_FPERIOD_OVERRIDE=FY","FILING_STATUS=MR","EQY_CONSOLIDATED=Y","SCALING_FORMAT=MLN","FA_ADJUSTED=GAAP","Sort=A","Dates=H","DateFormat=P","Fill=—","Direction=H","UseDPDF=Y")</f>
        <v>#NAME?</v>
      </c>
      <c r="F17" s="13" t="e" cm="1">
        <f t="array" aca="1" ref="F17" ca="1">_xll.BDH("DATA IN Equity","NONOP_INCOME_LOSS","FY 2007","FY 2007","Currency=INR","Period=FY","BEST_FPERIOD_OVERRIDE=FY","FILING_STATUS=MR","EQY_CONSOLIDATED=Y","SCALING_FORMAT=MLN","FA_ADJUSTED=GAAP","Sort=A","Dates=H","DateFormat=P","Fill=—","Direction=H","UseDPDF=Y")</f>
        <v>#NAME?</v>
      </c>
      <c r="G17" s="13" t="e" cm="1">
        <f t="array" aca="1" ref="G17" ca="1">_xll.BDH("DATA IN Equity","NONOP_INCOME_LOSS","FY 2008","FY 2008","Currency=INR","Period=FY","BEST_FPERIOD_OVERRIDE=FY","FILING_STATUS=MR","EQY_CONSOLIDATED=Y","SCALING_FORMAT=MLN","FA_ADJUSTED=GAAP","Sort=A","Dates=H","DateFormat=P","Fill=—","Direction=H","UseDPDF=Y")</f>
        <v>#NAME?</v>
      </c>
      <c r="H17" s="13" t="e" cm="1">
        <f t="array" aca="1" ref="H17" ca="1">_xll.BDH("DATA IN Equity","NONOP_INCOME_LOSS","FY 2009","FY 2009","Currency=INR","Period=FY","BEST_FPERIOD_OVERRIDE=FY","FILING_STATUS=MR","EQY_CONSOLIDATED=Y","SCALING_FORMAT=MLN","FA_ADJUSTED=GAAP","Sort=A","Dates=H","DateFormat=P","Fill=—","Direction=H","UseDPDF=Y")</f>
        <v>#NAME?</v>
      </c>
      <c r="I17" s="13" t="e" cm="1">
        <f t="array" aca="1" ref="I17" ca="1">_xll.BDH("DATA IN Equity","NONOP_INCOME_LOSS","FY 2010","FY 2010","Currency=INR","Period=FY","BEST_FPERIOD_OVERRIDE=FY","FILING_STATUS=MR","EQY_CONSOLIDATED=Y","SCALING_FORMAT=MLN","FA_ADJUSTED=GAAP","Sort=A","Dates=H","DateFormat=P","Fill=—","Direction=H","UseDPDF=Y")</f>
        <v>#NAME?</v>
      </c>
      <c r="J17" s="13" t="e" cm="1">
        <f t="array" aca="1" ref="J17" ca="1">_xll.BDH("DATA IN Equity","NONOP_INCOME_LOSS","FY 2011","FY 2011","Currency=INR","Period=FY","BEST_FPERIOD_OVERRIDE=FY","FILING_STATUS=MR","EQY_CONSOLIDATED=Y","SCALING_FORMAT=MLN","FA_ADJUSTED=GAAP","Sort=A","Dates=H","DateFormat=P","Fill=—","Direction=H","UseDPDF=Y")</f>
        <v>#NAME?</v>
      </c>
      <c r="K17" s="13" t="e" cm="1">
        <f t="array" aca="1" ref="K17" ca="1">_xll.BDH("DATA IN Equity","NONOP_INCOME_LOSS","FY 2012","FY 2012","Currency=INR","Period=FY","BEST_FPERIOD_OVERRIDE=FY","FILING_STATUS=MR","EQY_CONSOLIDATED=Y","SCALING_FORMAT=MLN","FA_ADJUSTED=GAAP","Sort=A","Dates=H","DateFormat=P","Fill=—","Direction=H","UseDPDF=Y")</f>
        <v>#NAME?</v>
      </c>
      <c r="L17" s="13" t="e" cm="1">
        <f t="array" aca="1" ref="L17" ca="1">_xll.BDH("DATA IN Equity","NONOP_INCOME_LOSS","FY 2013","FY 2013","Currency=INR","Period=FY","BEST_FPERIOD_OVERRIDE=FY","FILING_STATUS=MR","EQY_CONSOLIDATED=Y","SCALING_FORMAT=MLN","FA_ADJUSTED=GAAP","Sort=A","Dates=H","DateFormat=P","Fill=—","Direction=H","UseDPDF=Y")</f>
        <v>#NAME?</v>
      </c>
      <c r="M17" s="13" t="e" cm="1">
        <f t="array" aca="1" ref="M17" ca="1">_xll.BDH("DATA IN Equity","NONOP_INCOME_LOSS","FY 2014","FY 2014","Currency=INR","Period=FY","BEST_FPERIOD_OVERRIDE=FY","FILING_STATUS=MR","EQY_CONSOLIDATED=Y","SCALING_FORMAT=MLN","FA_ADJUSTED=GAAP","Sort=A","Dates=H","DateFormat=P","Fill=—","Direction=H","UseDPDF=Y")</f>
        <v>#NAME?</v>
      </c>
      <c r="N17" s="13" t="e" cm="1">
        <f t="array" aca="1" ref="N17" ca="1">_xll.BDH("DATA IN Equity","NONOP_INCOME_LOSS","FY 2015","FY 2015","Currency=INR","Period=FY","BEST_FPERIOD_OVERRIDE=FY","FILING_STATUS=MR","EQY_CONSOLIDATED=Y","SCALING_FORMAT=MLN","FA_ADJUSTED=GAAP","Sort=A","Dates=H","DateFormat=P","Fill=—","Direction=H","UseDPDF=Y")</f>
        <v>#NAME?</v>
      </c>
      <c r="O17" s="13" t="e" cm="1">
        <f t="array" aca="1" ref="O17" ca="1">_xll.BDH("DATA IN Equity","NONOP_INCOME_LOSS","FY 2016","FY 2016","Currency=INR","Period=FY","BEST_FPERIOD_OVERRIDE=FY","FILING_STATUS=MR","EQY_CONSOLIDATED=Y","SCALING_FORMAT=MLN","FA_ADJUSTED=GAAP","Sort=A","Dates=H","DateFormat=P","Fill=—","Direction=H","UseDPDF=Y")</f>
        <v>#NAME?</v>
      </c>
      <c r="P17" s="13" t="e" cm="1">
        <f t="array" aca="1" ref="P17" ca="1">_xll.BDH("DATA IN Equity","NONOP_INCOME_LOSS","FY 2017","FY 2017","Currency=INR","Period=FY","BEST_FPERIOD_OVERRIDE=FY","FILING_STATUS=MR","EQY_CONSOLIDATED=Y","SCALING_FORMAT=MLN","FA_ADJUSTED=GAAP","Sort=A","Dates=H","DateFormat=P","Fill=—","Direction=H","UseDPDF=Y")</f>
        <v>#NAME?</v>
      </c>
      <c r="Q17" s="13" t="e" cm="1">
        <f t="array" aca="1" ref="Q17" ca="1">_xll.BDH("DATA IN Equity","NONOP_INCOME_LOSS","FY 2018","FY 2018","Currency=INR","Period=FY","BEST_FPERIOD_OVERRIDE=FY","FILING_STATUS=MR","EQY_CONSOLIDATED=Y","SCALING_FORMAT=MLN","FA_ADJUSTED=GAAP","Sort=A","Dates=H","DateFormat=P","Fill=—","Direction=H","UseDPDF=Y")</f>
        <v>#NAME?</v>
      </c>
      <c r="R17" s="13" t="e" cm="1">
        <f t="array" aca="1" ref="R17" ca="1">_xll.BDH("DATA IN Equity","NONOP_INCOME_LOSS","FY 2019","FY 2019","Currency=INR","Period=FY","BEST_FPERIOD_OVERRIDE=FY","FILING_STATUS=MR","EQY_CONSOLIDATED=Y","SCALING_FORMAT=MLN","FA_ADJUSTED=GAAP","Sort=A","Dates=H","DateFormat=P","Fill=—","Direction=H","UseDPDF=Y")</f>
        <v>#NAME?</v>
      </c>
      <c r="S17" s="13" t="e" cm="1">
        <f t="array" aca="1" ref="S17" ca="1">_xll.BDH("DATA IN Equity","NONOP_INCOME_LOSS","FY 2020","FY 2020","Currency=INR","Period=FY","BEST_FPERIOD_OVERRIDE=FY","FILING_STATUS=MR","EQY_CONSOLIDATED=Y","SCALING_FORMAT=MLN","FA_ADJUSTED=GAAP","Sort=A","Dates=H","DateFormat=P","Fill=—","Direction=H","UseDPDF=Y")</f>
        <v>#NAME?</v>
      </c>
      <c r="T17" s="13" t="e" cm="1">
        <f t="array" aca="1" ref="T17" ca="1">_xll.BDH("DATA IN Equity","NONOP_INCOME_LOSS","FY 2021","FY 2021","Currency=INR","Period=FY","BEST_FPERIOD_OVERRIDE=FY","FILING_STATUS=MR","EQY_CONSOLIDATED=Y","SCALING_FORMAT=MLN","FA_ADJUSTED=GAAP","Sort=A","Dates=H","DateFormat=P","Fill=—","Direction=H","UseDPDF=Y")</f>
        <v>#NAME?</v>
      </c>
      <c r="U17" s="13" t="e" cm="1">
        <f t="array" aca="1" ref="U17" ca="1">_xll.BDH("DATA IN Equity","NONOP_INCOME_LOSS","FY 2022","FY 2022","Currency=INR","Period=FY","BEST_FPERIOD_OVERRIDE=FY","FILING_STATUS=MR","EQY_CONSOLIDATED=Y","SCALING_FORMAT=MLN","FA_ADJUSTED=GAAP","Sort=A","Dates=H","DateFormat=P","Fill=—","Direction=H","UseDPDF=Y")</f>
        <v>#NAME?</v>
      </c>
      <c r="V17" s="13" t="e" cm="1">
        <f t="array" aca="1" ref="V17" ca="1">_xll.BDH("DATA IN Equity","NONOP_INCOME_LOSS","FY 2023","FY 2023","Currency=INR","Period=FY","BEST_FPERIOD_OVERRIDE=FY","FILING_STATUS=MR","EQY_CONSOLIDATED=Y","SCALING_FORMAT=MLN","FA_ADJUSTED=GAAP","Sort=A","Dates=H","DateFormat=P","Fill=—","Direction=H","UseDPDF=Y")</f>
        <v>#NAME?</v>
      </c>
      <c r="W17" s="13" t="e" cm="1">
        <f t="array" aca="1" ref="W17" ca="1">_xll.BDH("DATA IN Equity","NONOP_INCOME_LOSS","FY 2024","FY 2024","Currency=INR","Period=FY","BEST_FPERIOD_OVERRIDE=FY","FILING_STATUS=MR","EQY_CONSOLIDATED=Y","SCALING_FORMAT=MLN","FA_ADJUSTED=GAAP","Sort=A","Dates=H","DateFormat=P","Fill=—","Direction=H","UseDPDF=Y")</f>
        <v>#NAME?</v>
      </c>
      <c r="X17" s="13" t="e" cm="1">
        <f t="array" aca="1" ref="X17" ca="1">_xll.BDH("DATA IN Equity","NONOP_INCOME_LOSS","FY 2025","FY 2025","Currency=INR","Period=FY","BEST_FPERIOD_OVERRIDE=FY","FILING_STATUS=MR","EQY_CONSOLIDATED=Y","SCALING_FORMAT=MLN","FA_ADJUSTED=GAAP","Sort=A","Dates=H","DateFormat=P","Fill=—","Direction=H","UseDPDF=Y")</f>
        <v>#NAME?</v>
      </c>
      <c r="Y17" s="16">
        <v>-278.7</v>
      </c>
      <c r="Z17" s="13"/>
      <c r="AA17" s="13"/>
    </row>
    <row r="18" spans="1:27" x14ac:dyDescent="0.2">
      <c r="A18" s="10" t="s">
        <v>140</v>
      </c>
      <c r="B18" s="10" t="s">
        <v>141</v>
      </c>
      <c r="C18" s="13" t="e" cm="1">
        <f t="array" aca="1" ref="C18" ca="1">_xll.BDH("DATA IN Equity","IS_NET_INTEREST_EXPENSE","FY 2004","FY 2004","Currency=INR","Period=FY","BEST_FPERIOD_OVERRIDE=FY","FILING_STATUS=MR","EQY_CONSOLIDATED=Y","SCALING_FORMAT=MLN","FA_ADJUSTED=GAAP","Sort=A","Dates=H","DateFormat=P","Fill=—","Direction=H","UseDPDF=Y")</f>
        <v>#NAME?</v>
      </c>
      <c r="D18" s="13" t="e" cm="1">
        <f t="array" aca="1" ref="D18" ca="1">_xll.BDH("DATA IN Equity","IS_NET_INTEREST_EXPENSE","FY 2005","FY 2005","Currency=INR","Period=FY","BEST_FPERIOD_OVERRIDE=FY","FILING_STATUS=MR","EQY_CONSOLIDATED=Y","SCALING_FORMAT=MLN","FA_ADJUSTED=GAAP","Sort=A","Dates=H","DateFormat=P","Fill=—","Direction=H","UseDPDF=Y")</f>
        <v>#NAME?</v>
      </c>
      <c r="E18" s="13" t="e" cm="1">
        <f t="array" aca="1" ref="E18" ca="1">_xll.BDH("DATA IN Equity","IS_NET_INTEREST_EXPENSE","FY 2006","FY 2006","Currency=INR","Period=FY","BEST_FPERIOD_OVERRIDE=FY","FILING_STATUS=MR","EQY_CONSOLIDATED=Y","SCALING_FORMAT=MLN","FA_ADJUSTED=GAAP","Sort=A","Dates=H","DateFormat=P","Fill=—","Direction=H","UseDPDF=Y")</f>
        <v>#NAME?</v>
      </c>
      <c r="F18" s="13" t="e" cm="1">
        <f t="array" aca="1" ref="F18" ca="1">_xll.BDH("DATA IN Equity","IS_NET_INTEREST_EXPENSE","FY 2007","FY 2007","Currency=INR","Period=FY","BEST_FPERIOD_OVERRIDE=FY","FILING_STATUS=MR","EQY_CONSOLIDATED=Y","SCALING_FORMAT=MLN","FA_ADJUSTED=GAAP","Sort=A","Dates=H","DateFormat=P","Fill=—","Direction=H","UseDPDF=Y")</f>
        <v>#NAME?</v>
      </c>
      <c r="G18" s="13" t="e" cm="1">
        <f t="array" aca="1" ref="G18" ca="1">_xll.BDH("DATA IN Equity","IS_NET_INTEREST_EXPENSE","FY 2008","FY 2008","Currency=INR","Period=FY","BEST_FPERIOD_OVERRIDE=FY","FILING_STATUS=MR","EQY_CONSOLIDATED=Y","SCALING_FORMAT=MLN","FA_ADJUSTED=GAAP","Sort=A","Dates=H","DateFormat=P","Fill=—","Direction=H","UseDPDF=Y")</f>
        <v>#NAME?</v>
      </c>
      <c r="H18" s="13" t="e" cm="1">
        <f t="array" aca="1" ref="H18" ca="1">_xll.BDH("DATA IN Equity","IS_NET_INTEREST_EXPENSE","FY 2009","FY 2009","Currency=INR","Period=FY","BEST_FPERIOD_OVERRIDE=FY","FILING_STATUS=MR","EQY_CONSOLIDATED=Y","SCALING_FORMAT=MLN","FA_ADJUSTED=GAAP","Sort=A","Dates=H","DateFormat=P","Fill=—","Direction=H","UseDPDF=Y")</f>
        <v>#NAME?</v>
      </c>
      <c r="I18" s="13" t="e" cm="1">
        <f t="array" aca="1" ref="I18" ca="1">_xll.BDH("DATA IN Equity","IS_NET_INTEREST_EXPENSE","FY 2010","FY 2010","Currency=INR","Period=FY","BEST_FPERIOD_OVERRIDE=FY","FILING_STATUS=MR","EQY_CONSOLIDATED=Y","SCALING_FORMAT=MLN","FA_ADJUSTED=GAAP","Sort=A","Dates=H","DateFormat=P","Fill=—","Direction=H","UseDPDF=Y")</f>
        <v>#NAME?</v>
      </c>
      <c r="J18" s="13" t="e" cm="1">
        <f t="array" aca="1" ref="J18" ca="1">_xll.BDH("DATA IN Equity","IS_NET_INTEREST_EXPENSE","FY 2011","FY 2011","Currency=INR","Period=FY","BEST_FPERIOD_OVERRIDE=FY","FILING_STATUS=MR","EQY_CONSOLIDATED=Y","SCALING_FORMAT=MLN","FA_ADJUSTED=GAAP","Sort=A","Dates=H","DateFormat=P","Fill=—","Direction=H","UseDPDF=Y")</f>
        <v>#NAME?</v>
      </c>
      <c r="K18" s="13" t="e" cm="1">
        <f t="array" aca="1" ref="K18" ca="1">_xll.BDH("DATA IN Equity","IS_NET_INTEREST_EXPENSE","FY 2012","FY 2012","Currency=INR","Period=FY","BEST_FPERIOD_OVERRIDE=FY","FILING_STATUS=MR","EQY_CONSOLIDATED=Y","SCALING_FORMAT=MLN","FA_ADJUSTED=GAAP","Sort=A","Dates=H","DateFormat=P","Fill=—","Direction=H","UseDPDF=Y")</f>
        <v>#NAME?</v>
      </c>
      <c r="L18" s="13" t="e" cm="1">
        <f t="array" aca="1" ref="L18" ca="1">_xll.BDH("DATA IN Equity","IS_NET_INTEREST_EXPENSE","FY 2013","FY 2013","Currency=INR","Period=FY","BEST_FPERIOD_OVERRIDE=FY","FILING_STATUS=MR","EQY_CONSOLIDATED=Y","SCALING_FORMAT=MLN","FA_ADJUSTED=GAAP","Sort=A","Dates=H","DateFormat=P","Fill=—","Direction=H","UseDPDF=Y")</f>
        <v>#NAME?</v>
      </c>
      <c r="M18" s="13" t="e" cm="1">
        <f t="array" aca="1" ref="M18" ca="1">_xll.BDH("DATA IN Equity","IS_NET_INTEREST_EXPENSE","FY 2014","FY 2014","Currency=INR","Period=FY","BEST_FPERIOD_OVERRIDE=FY","FILING_STATUS=MR","EQY_CONSOLIDATED=Y","SCALING_FORMAT=MLN","FA_ADJUSTED=GAAP","Sort=A","Dates=H","DateFormat=P","Fill=—","Direction=H","UseDPDF=Y")</f>
        <v>#NAME?</v>
      </c>
      <c r="N18" s="13" t="e" cm="1">
        <f t="array" aca="1" ref="N18" ca="1">_xll.BDH("DATA IN Equity","IS_NET_INTEREST_EXPENSE","FY 2015","FY 2015","Currency=INR","Period=FY","BEST_FPERIOD_OVERRIDE=FY","FILING_STATUS=MR","EQY_CONSOLIDATED=Y","SCALING_FORMAT=MLN","FA_ADJUSTED=GAAP","Sort=A","Dates=H","DateFormat=P","Fill=—","Direction=H","UseDPDF=Y")</f>
        <v>#NAME?</v>
      </c>
      <c r="O18" s="13" t="e" cm="1">
        <f t="array" aca="1" ref="O18" ca="1">_xll.BDH("DATA IN Equity","IS_NET_INTEREST_EXPENSE","FY 2016","FY 2016","Currency=INR","Period=FY","BEST_FPERIOD_OVERRIDE=FY","FILING_STATUS=MR","EQY_CONSOLIDATED=Y","SCALING_FORMAT=MLN","FA_ADJUSTED=GAAP","Sort=A","Dates=H","DateFormat=P","Fill=—","Direction=H","UseDPDF=Y")</f>
        <v>#NAME?</v>
      </c>
      <c r="P18" s="13" t="e" cm="1">
        <f t="array" aca="1" ref="P18" ca="1">_xll.BDH("DATA IN Equity","IS_NET_INTEREST_EXPENSE","FY 2017","FY 2017","Currency=INR","Period=FY","BEST_FPERIOD_OVERRIDE=FY","FILING_STATUS=MR","EQY_CONSOLIDATED=Y","SCALING_FORMAT=MLN","FA_ADJUSTED=GAAP","Sort=A","Dates=H","DateFormat=P","Fill=—","Direction=H","UseDPDF=Y")</f>
        <v>#NAME?</v>
      </c>
      <c r="Q18" s="13" t="e" cm="1">
        <f t="array" aca="1" ref="Q18" ca="1">_xll.BDH("DATA IN Equity","IS_NET_INTEREST_EXPENSE","FY 2018","FY 2018","Currency=INR","Period=FY","BEST_FPERIOD_OVERRIDE=FY","FILING_STATUS=MR","EQY_CONSOLIDATED=Y","SCALING_FORMAT=MLN","FA_ADJUSTED=GAAP","Sort=A","Dates=H","DateFormat=P","Fill=—","Direction=H","UseDPDF=Y")</f>
        <v>#NAME?</v>
      </c>
      <c r="R18" s="13" t="e" cm="1">
        <f t="array" aca="1" ref="R18" ca="1">_xll.BDH("DATA IN Equity","IS_NET_INTEREST_EXPENSE","FY 2019","FY 2019","Currency=INR","Period=FY","BEST_FPERIOD_OVERRIDE=FY","FILING_STATUS=MR","EQY_CONSOLIDATED=Y","SCALING_FORMAT=MLN","FA_ADJUSTED=GAAP","Sort=A","Dates=H","DateFormat=P","Fill=—","Direction=H","UseDPDF=Y")</f>
        <v>#NAME?</v>
      </c>
      <c r="S18" s="13" t="e" cm="1">
        <f t="array" aca="1" ref="S18" ca="1">_xll.BDH("DATA IN Equity","IS_NET_INTEREST_EXPENSE","FY 2020","FY 2020","Currency=INR","Period=FY","BEST_FPERIOD_OVERRIDE=FY","FILING_STATUS=MR","EQY_CONSOLIDATED=Y","SCALING_FORMAT=MLN","FA_ADJUSTED=GAAP","Sort=A","Dates=H","DateFormat=P","Fill=—","Direction=H","UseDPDF=Y")</f>
        <v>#NAME?</v>
      </c>
      <c r="T18" s="13" t="e" cm="1">
        <f t="array" aca="1" ref="T18" ca="1">_xll.BDH("DATA IN Equity","IS_NET_INTEREST_EXPENSE","FY 2021","FY 2021","Currency=INR","Period=FY","BEST_FPERIOD_OVERRIDE=FY","FILING_STATUS=MR","EQY_CONSOLIDATED=Y","SCALING_FORMAT=MLN","FA_ADJUSTED=GAAP","Sort=A","Dates=H","DateFormat=P","Fill=—","Direction=H","UseDPDF=Y")</f>
        <v>#NAME?</v>
      </c>
      <c r="U18" s="13" t="e" cm="1">
        <f t="array" aca="1" ref="U18" ca="1">_xll.BDH("DATA IN Equity","IS_NET_INTEREST_EXPENSE","FY 2022","FY 2022","Currency=INR","Period=FY","BEST_FPERIOD_OVERRIDE=FY","FILING_STATUS=MR","EQY_CONSOLIDATED=Y","SCALING_FORMAT=MLN","FA_ADJUSTED=GAAP","Sort=A","Dates=H","DateFormat=P","Fill=—","Direction=H","UseDPDF=Y")</f>
        <v>#NAME?</v>
      </c>
      <c r="V18" s="13" t="e" cm="1">
        <f t="array" aca="1" ref="V18" ca="1">_xll.BDH("DATA IN Equity","IS_NET_INTEREST_EXPENSE","FY 2023","FY 2023","Currency=INR","Period=FY","BEST_FPERIOD_OVERRIDE=FY","FILING_STATUS=MR","EQY_CONSOLIDATED=Y","SCALING_FORMAT=MLN","FA_ADJUSTED=GAAP","Sort=A","Dates=H","DateFormat=P","Fill=—","Direction=H","UseDPDF=Y")</f>
        <v>#NAME?</v>
      </c>
      <c r="W18" s="13" t="e" cm="1">
        <f t="array" aca="1" ref="W18" ca="1">_xll.BDH("DATA IN Equity","IS_NET_INTEREST_EXPENSE","FY 2024","FY 2024","Currency=INR","Period=FY","BEST_FPERIOD_OVERRIDE=FY","FILING_STATUS=MR","EQY_CONSOLIDATED=Y","SCALING_FORMAT=MLN","FA_ADJUSTED=GAAP","Sort=A","Dates=H","DateFormat=P","Fill=—","Direction=H","UseDPDF=Y")</f>
        <v>#NAME?</v>
      </c>
      <c r="X18" s="13" t="e" cm="1">
        <f t="array" aca="1" ref="X18" ca="1">_xll.BDH("DATA IN Equity","IS_NET_INTEREST_EXPENSE","FY 2025","FY 2025","Currency=INR","Period=FY","BEST_FPERIOD_OVERRIDE=FY","FILING_STATUS=MR","EQY_CONSOLIDATED=Y","SCALING_FORMAT=MLN","FA_ADJUSTED=GAAP","Sort=A","Dates=H","DateFormat=P","Fill=—","Direction=H","UseDPDF=Y")</f>
        <v>#NAME?</v>
      </c>
      <c r="Y18" s="16"/>
      <c r="Z18" s="13"/>
      <c r="AA18" s="13"/>
    </row>
    <row r="19" spans="1:27" x14ac:dyDescent="0.2">
      <c r="A19" s="11" t="s">
        <v>142</v>
      </c>
      <c r="B19" s="11" t="s">
        <v>143</v>
      </c>
      <c r="C19" s="25" t="e" cm="1">
        <f t="array" aca="1" ref="C19" ca="1">_xll.BDH("DATA IN Equity","IS_INT_EXPENSE","FY 2004","FY 2004","Currency=INR","Period=FY","BEST_FPERIOD_OVERRIDE=FY","FILING_STATUS=MR","EQY_CONSOLIDATED=Y","SCALING_FORMAT=MLN","FA_ADJUSTED=GAAP","Sort=A","Dates=H","DateFormat=P","Fill=—","Direction=H","UseDPDF=Y")</f>
        <v>#NAME?</v>
      </c>
      <c r="D19" s="25" t="e" cm="1">
        <f t="array" aca="1" ref="D19" ca="1">_xll.BDH("DATA IN Equity","IS_INT_EXPENSE","FY 2005","FY 2005","Currency=INR","Period=FY","BEST_FPERIOD_OVERRIDE=FY","FILING_STATUS=MR","EQY_CONSOLIDATED=Y","SCALING_FORMAT=MLN","FA_ADJUSTED=GAAP","Sort=A","Dates=H","DateFormat=P","Fill=—","Direction=H","UseDPDF=Y")</f>
        <v>#NAME?</v>
      </c>
      <c r="E19" s="25" t="e" cm="1">
        <f t="array" aca="1" ref="E19" ca="1">_xll.BDH("DATA IN Equity","IS_INT_EXPENSE","FY 2006","FY 2006","Currency=INR","Period=FY","BEST_FPERIOD_OVERRIDE=FY","FILING_STATUS=MR","EQY_CONSOLIDATED=Y","SCALING_FORMAT=MLN","FA_ADJUSTED=GAAP","Sort=A","Dates=H","DateFormat=P","Fill=—","Direction=H","UseDPDF=Y")</f>
        <v>#NAME?</v>
      </c>
      <c r="F19" s="25" t="e" cm="1">
        <f t="array" aca="1" ref="F19" ca="1">_xll.BDH("DATA IN Equity","IS_INT_EXPENSE","FY 2007","FY 2007","Currency=INR","Period=FY","BEST_FPERIOD_OVERRIDE=FY","FILING_STATUS=MR","EQY_CONSOLIDATED=Y","SCALING_FORMAT=MLN","FA_ADJUSTED=GAAP","Sort=A","Dates=H","DateFormat=P","Fill=—","Direction=H","UseDPDF=Y")</f>
        <v>#NAME?</v>
      </c>
      <c r="G19" s="25" t="e" cm="1">
        <f t="array" aca="1" ref="G19" ca="1">_xll.BDH("DATA IN Equity","IS_INT_EXPENSE","FY 2008","FY 2008","Currency=INR","Period=FY","BEST_FPERIOD_OVERRIDE=FY","FILING_STATUS=MR","EQY_CONSOLIDATED=Y","SCALING_FORMAT=MLN","FA_ADJUSTED=GAAP","Sort=A","Dates=H","DateFormat=P","Fill=—","Direction=H","UseDPDF=Y")</f>
        <v>#NAME?</v>
      </c>
      <c r="H19" s="25" t="e" cm="1">
        <f t="array" aca="1" ref="H19" ca="1">_xll.BDH("DATA IN Equity","IS_INT_EXPENSE","FY 2009","FY 2009","Currency=INR","Period=FY","BEST_FPERIOD_OVERRIDE=FY","FILING_STATUS=MR","EQY_CONSOLIDATED=Y","SCALING_FORMAT=MLN","FA_ADJUSTED=GAAP","Sort=A","Dates=H","DateFormat=P","Fill=—","Direction=H","UseDPDF=Y")</f>
        <v>#NAME?</v>
      </c>
      <c r="I19" s="25" t="e" cm="1">
        <f t="array" aca="1" ref="I19" ca="1">_xll.BDH("DATA IN Equity","IS_INT_EXPENSE","FY 2010","FY 2010","Currency=INR","Period=FY","BEST_FPERIOD_OVERRIDE=FY","FILING_STATUS=MR","EQY_CONSOLIDATED=Y","SCALING_FORMAT=MLN","FA_ADJUSTED=GAAP","Sort=A","Dates=H","DateFormat=P","Fill=—","Direction=H","UseDPDF=Y")</f>
        <v>#NAME?</v>
      </c>
      <c r="J19" s="25" t="e" cm="1">
        <f t="array" aca="1" ref="J19" ca="1">_xll.BDH("DATA IN Equity","IS_INT_EXPENSE","FY 2011","FY 2011","Currency=INR","Period=FY","BEST_FPERIOD_OVERRIDE=FY","FILING_STATUS=MR","EQY_CONSOLIDATED=Y","SCALING_FORMAT=MLN","FA_ADJUSTED=GAAP","Sort=A","Dates=H","DateFormat=P","Fill=—","Direction=H","UseDPDF=Y")</f>
        <v>#NAME?</v>
      </c>
      <c r="K19" s="25" t="e" cm="1">
        <f t="array" aca="1" ref="K19" ca="1">_xll.BDH("DATA IN Equity","IS_INT_EXPENSE","FY 2012","FY 2012","Currency=INR","Period=FY","BEST_FPERIOD_OVERRIDE=FY","FILING_STATUS=MR","EQY_CONSOLIDATED=Y","SCALING_FORMAT=MLN","FA_ADJUSTED=GAAP","Sort=A","Dates=H","DateFormat=P","Fill=—","Direction=H","UseDPDF=Y")</f>
        <v>#NAME?</v>
      </c>
      <c r="L19" s="25" t="e" cm="1">
        <f t="array" aca="1" ref="L19" ca="1">_xll.BDH("DATA IN Equity","IS_INT_EXPENSE","FY 2013","FY 2013","Currency=INR","Period=FY","BEST_FPERIOD_OVERRIDE=FY","FILING_STATUS=MR","EQY_CONSOLIDATED=Y","SCALING_FORMAT=MLN","FA_ADJUSTED=GAAP","Sort=A","Dates=H","DateFormat=P","Fill=—","Direction=H","UseDPDF=Y")</f>
        <v>#NAME?</v>
      </c>
      <c r="M19" s="25" t="e" cm="1">
        <f t="array" aca="1" ref="M19" ca="1">_xll.BDH("DATA IN Equity","IS_INT_EXPENSE","FY 2014","FY 2014","Currency=INR","Period=FY","BEST_FPERIOD_OVERRIDE=FY","FILING_STATUS=MR","EQY_CONSOLIDATED=Y","SCALING_FORMAT=MLN","FA_ADJUSTED=GAAP","Sort=A","Dates=H","DateFormat=P","Fill=—","Direction=H","UseDPDF=Y")</f>
        <v>#NAME?</v>
      </c>
      <c r="N19" s="25" t="e" cm="1">
        <f t="array" aca="1" ref="N19" ca="1">_xll.BDH("DATA IN Equity","IS_INT_EXPENSE","FY 2015","FY 2015","Currency=INR","Period=FY","BEST_FPERIOD_OVERRIDE=FY","FILING_STATUS=MR","EQY_CONSOLIDATED=Y","SCALING_FORMAT=MLN","FA_ADJUSTED=GAAP","Sort=A","Dates=H","DateFormat=P","Fill=—","Direction=H","UseDPDF=Y")</f>
        <v>#NAME?</v>
      </c>
      <c r="O19" s="25" t="e" cm="1">
        <f t="array" aca="1" ref="O19" ca="1">_xll.BDH("DATA IN Equity","IS_INT_EXPENSE","FY 2016","FY 2016","Currency=INR","Period=FY","BEST_FPERIOD_OVERRIDE=FY","FILING_STATUS=MR","EQY_CONSOLIDATED=Y","SCALING_FORMAT=MLN","FA_ADJUSTED=GAAP","Sort=A","Dates=H","DateFormat=P","Fill=—","Direction=H","UseDPDF=Y")</f>
        <v>#NAME?</v>
      </c>
      <c r="P19" s="25" t="e" cm="1">
        <f t="array" aca="1" ref="P19" ca="1">_xll.BDH("DATA IN Equity","IS_INT_EXPENSE","FY 2017","FY 2017","Currency=INR","Period=FY","BEST_FPERIOD_OVERRIDE=FY","FILING_STATUS=MR","EQY_CONSOLIDATED=Y","SCALING_FORMAT=MLN","FA_ADJUSTED=GAAP","Sort=A","Dates=H","DateFormat=P","Fill=—","Direction=H","UseDPDF=Y")</f>
        <v>#NAME?</v>
      </c>
      <c r="Q19" s="25" t="e" cm="1">
        <f t="array" aca="1" ref="Q19" ca="1">_xll.BDH("DATA IN Equity","IS_INT_EXPENSE","FY 2018","FY 2018","Currency=INR","Period=FY","BEST_FPERIOD_OVERRIDE=FY","FILING_STATUS=MR","EQY_CONSOLIDATED=Y","SCALING_FORMAT=MLN","FA_ADJUSTED=GAAP","Sort=A","Dates=H","DateFormat=P","Fill=—","Direction=H","UseDPDF=Y")</f>
        <v>#NAME?</v>
      </c>
      <c r="R19" s="25" t="e" cm="1">
        <f t="array" aca="1" ref="R19" ca="1">_xll.BDH("DATA IN Equity","IS_INT_EXPENSE","FY 2019","FY 2019","Currency=INR","Period=FY","BEST_FPERIOD_OVERRIDE=FY","FILING_STATUS=MR","EQY_CONSOLIDATED=Y","SCALING_FORMAT=MLN","FA_ADJUSTED=GAAP","Sort=A","Dates=H","DateFormat=P","Fill=—","Direction=H","UseDPDF=Y")</f>
        <v>#NAME?</v>
      </c>
      <c r="S19" s="25" t="e" cm="1">
        <f t="array" aca="1" ref="S19" ca="1">_xll.BDH("DATA IN Equity","IS_INT_EXPENSE","FY 2020","FY 2020","Currency=INR","Period=FY","BEST_FPERIOD_OVERRIDE=FY","FILING_STATUS=MR","EQY_CONSOLIDATED=Y","SCALING_FORMAT=MLN","FA_ADJUSTED=GAAP","Sort=A","Dates=H","DateFormat=P","Fill=—","Direction=H","UseDPDF=Y")</f>
        <v>#NAME?</v>
      </c>
      <c r="T19" s="25" t="e" cm="1">
        <f t="array" aca="1" ref="T19" ca="1">_xll.BDH("DATA IN Equity","IS_INT_EXPENSE","FY 2021","FY 2021","Currency=INR","Period=FY","BEST_FPERIOD_OVERRIDE=FY","FILING_STATUS=MR","EQY_CONSOLIDATED=Y","SCALING_FORMAT=MLN","FA_ADJUSTED=GAAP","Sort=A","Dates=H","DateFormat=P","Fill=—","Direction=H","UseDPDF=Y")</f>
        <v>#NAME?</v>
      </c>
      <c r="U19" s="25" t="e" cm="1">
        <f t="array" aca="1" ref="U19" ca="1">_xll.BDH("DATA IN Equity","IS_INT_EXPENSE","FY 2022","FY 2022","Currency=INR","Period=FY","BEST_FPERIOD_OVERRIDE=FY","FILING_STATUS=MR","EQY_CONSOLIDATED=Y","SCALING_FORMAT=MLN","FA_ADJUSTED=GAAP","Sort=A","Dates=H","DateFormat=P","Fill=—","Direction=H","UseDPDF=Y")</f>
        <v>#NAME?</v>
      </c>
      <c r="V19" s="25" t="e" cm="1">
        <f t="array" aca="1" ref="V19" ca="1">_xll.BDH("DATA IN Equity","IS_INT_EXPENSE","FY 2023","FY 2023","Currency=INR","Period=FY","BEST_FPERIOD_OVERRIDE=FY","FILING_STATUS=MR","EQY_CONSOLIDATED=Y","SCALING_FORMAT=MLN","FA_ADJUSTED=GAAP","Sort=A","Dates=H","DateFormat=P","Fill=—","Direction=H","UseDPDF=Y")</f>
        <v>#NAME?</v>
      </c>
      <c r="W19" s="25" t="e" cm="1">
        <f t="array" aca="1" ref="W19" ca="1">_xll.BDH("DATA IN Equity","IS_INT_EXPENSE","FY 2024","FY 2024","Currency=INR","Period=FY","BEST_FPERIOD_OVERRIDE=FY","FILING_STATUS=MR","EQY_CONSOLIDATED=Y","SCALING_FORMAT=MLN","FA_ADJUSTED=GAAP","Sort=A","Dates=H","DateFormat=P","Fill=—","Direction=H","UseDPDF=Y")</f>
        <v>#NAME?</v>
      </c>
      <c r="X19" s="25" t="e" cm="1">
        <f t="array" aca="1" ref="X19" ca="1">_xll.BDH("DATA IN Equity","IS_INT_EXPENSE","FY 2025","FY 2025","Currency=INR","Period=FY","BEST_FPERIOD_OVERRIDE=FY","FILING_STATUS=MR","EQY_CONSOLIDATED=Y","SCALING_FORMAT=MLN","FA_ADJUSTED=GAAP","Sort=A","Dates=H","DateFormat=P","Fill=—","Direction=H","UseDPDF=Y")</f>
        <v>#NAME?</v>
      </c>
      <c r="Y19" s="28"/>
      <c r="Z19" s="25"/>
      <c r="AA19" s="25"/>
    </row>
    <row r="20" spans="1:27" x14ac:dyDescent="0.2">
      <c r="A20" s="11" t="s">
        <v>144</v>
      </c>
      <c r="B20" s="11" t="s">
        <v>145</v>
      </c>
      <c r="C20" s="25" t="e" cm="1">
        <f t="array" aca="1" ref="C20" ca="1">_xll.BDH("DATA IN Equity","IS_INT_INC","FY 2004","FY 2004","Currency=INR","Period=FY","BEST_FPERIOD_OVERRIDE=FY","FILING_STATUS=MR","EQY_CONSOLIDATED=Y","SCALING_FORMAT=MLN","FA_ADJUSTED=GAAP","Sort=A","Dates=H","DateFormat=P","Fill=—","Direction=H","UseDPDF=Y")</f>
        <v>#NAME?</v>
      </c>
      <c r="D20" s="25" t="e" cm="1">
        <f t="array" aca="1" ref="D20" ca="1">_xll.BDH("DATA IN Equity","IS_INT_INC","FY 2005","FY 2005","Currency=INR","Period=FY","BEST_FPERIOD_OVERRIDE=FY","FILING_STATUS=MR","EQY_CONSOLIDATED=Y","SCALING_FORMAT=MLN","FA_ADJUSTED=GAAP","Sort=A","Dates=H","DateFormat=P","Fill=—","Direction=H","UseDPDF=Y")</f>
        <v>#NAME?</v>
      </c>
      <c r="E20" s="25" t="e" cm="1">
        <f t="array" aca="1" ref="E20" ca="1">_xll.BDH("DATA IN Equity","IS_INT_INC","FY 2006","FY 2006","Currency=INR","Period=FY","BEST_FPERIOD_OVERRIDE=FY","FILING_STATUS=MR","EQY_CONSOLIDATED=Y","SCALING_FORMAT=MLN","FA_ADJUSTED=GAAP","Sort=A","Dates=H","DateFormat=P","Fill=—","Direction=H","UseDPDF=Y")</f>
        <v>#NAME?</v>
      </c>
      <c r="F20" s="25" t="e" cm="1">
        <f t="array" aca="1" ref="F20" ca="1">_xll.BDH("DATA IN Equity","IS_INT_INC","FY 2007","FY 2007","Currency=INR","Period=FY","BEST_FPERIOD_OVERRIDE=FY","FILING_STATUS=MR","EQY_CONSOLIDATED=Y","SCALING_FORMAT=MLN","FA_ADJUSTED=GAAP","Sort=A","Dates=H","DateFormat=P","Fill=—","Direction=H","UseDPDF=Y")</f>
        <v>#NAME?</v>
      </c>
      <c r="G20" s="25" t="e" cm="1">
        <f t="array" aca="1" ref="G20" ca="1">_xll.BDH("DATA IN Equity","IS_INT_INC","FY 2008","FY 2008","Currency=INR","Period=FY","BEST_FPERIOD_OVERRIDE=FY","FILING_STATUS=MR","EQY_CONSOLIDATED=Y","SCALING_FORMAT=MLN","FA_ADJUSTED=GAAP","Sort=A","Dates=H","DateFormat=P","Fill=—","Direction=H","UseDPDF=Y")</f>
        <v>#NAME?</v>
      </c>
      <c r="H20" s="25" t="e" cm="1">
        <f t="array" aca="1" ref="H20" ca="1">_xll.BDH("DATA IN Equity","IS_INT_INC","FY 2009","FY 2009","Currency=INR","Period=FY","BEST_FPERIOD_OVERRIDE=FY","FILING_STATUS=MR","EQY_CONSOLIDATED=Y","SCALING_FORMAT=MLN","FA_ADJUSTED=GAAP","Sort=A","Dates=H","DateFormat=P","Fill=—","Direction=H","UseDPDF=Y")</f>
        <v>#NAME?</v>
      </c>
      <c r="I20" s="25" t="e" cm="1">
        <f t="array" aca="1" ref="I20" ca="1">_xll.BDH("DATA IN Equity","IS_INT_INC","FY 2010","FY 2010","Currency=INR","Period=FY","BEST_FPERIOD_OVERRIDE=FY","FILING_STATUS=MR","EQY_CONSOLIDATED=Y","SCALING_FORMAT=MLN","FA_ADJUSTED=GAAP","Sort=A","Dates=H","DateFormat=P","Fill=—","Direction=H","UseDPDF=Y")</f>
        <v>#NAME?</v>
      </c>
      <c r="J20" s="25" t="e" cm="1">
        <f t="array" aca="1" ref="J20" ca="1">_xll.BDH("DATA IN Equity","IS_INT_INC","FY 2011","FY 2011","Currency=INR","Period=FY","BEST_FPERIOD_OVERRIDE=FY","FILING_STATUS=MR","EQY_CONSOLIDATED=Y","SCALING_FORMAT=MLN","FA_ADJUSTED=GAAP","Sort=A","Dates=H","DateFormat=P","Fill=—","Direction=H","UseDPDF=Y")</f>
        <v>#NAME?</v>
      </c>
      <c r="K20" s="25" t="e" cm="1">
        <f t="array" aca="1" ref="K20" ca="1">_xll.BDH("DATA IN Equity","IS_INT_INC","FY 2012","FY 2012","Currency=INR","Period=FY","BEST_FPERIOD_OVERRIDE=FY","FILING_STATUS=MR","EQY_CONSOLIDATED=Y","SCALING_FORMAT=MLN","FA_ADJUSTED=GAAP","Sort=A","Dates=H","DateFormat=P","Fill=—","Direction=H","UseDPDF=Y")</f>
        <v>#NAME?</v>
      </c>
      <c r="L20" s="25" t="e" cm="1">
        <f t="array" aca="1" ref="L20" ca="1">_xll.BDH("DATA IN Equity","IS_INT_INC","FY 2013","FY 2013","Currency=INR","Period=FY","BEST_FPERIOD_OVERRIDE=FY","FILING_STATUS=MR","EQY_CONSOLIDATED=Y","SCALING_FORMAT=MLN","FA_ADJUSTED=GAAP","Sort=A","Dates=H","DateFormat=P","Fill=—","Direction=H","UseDPDF=Y")</f>
        <v>#NAME?</v>
      </c>
      <c r="M20" s="25" t="e" cm="1">
        <f t="array" aca="1" ref="M20" ca="1">_xll.BDH("DATA IN Equity","IS_INT_INC","FY 2014","FY 2014","Currency=INR","Period=FY","BEST_FPERIOD_OVERRIDE=FY","FILING_STATUS=MR","EQY_CONSOLIDATED=Y","SCALING_FORMAT=MLN","FA_ADJUSTED=GAAP","Sort=A","Dates=H","DateFormat=P","Fill=—","Direction=H","UseDPDF=Y")</f>
        <v>#NAME?</v>
      </c>
      <c r="N20" s="25" t="e" cm="1">
        <f t="array" aca="1" ref="N20" ca="1">_xll.BDH("DATA IN Equity","IS_INT_INC","FY 2015","FY 2015","Currency=INR","Period=FY","BEST_FPERIOD_OVERRIDE=FY","FILING_STATUS=MR","EQY_CONSOLIDATED=Y","SCALING_FORMAT=MLN","FA_ADJUSTED=GAAP","Sort=A","Dates=H","DateFormat=P","Fill=—","Direction=H","UseDPDF=Y")</f>
        <v>#NAME?</v>
      </c>
      <c r="O20" s="25" t="e" cm="1">
        <f t="array" aca="1" ref="O20" ca="1">_xll.BDH("DATA IN Equity","IS_INT_INC","FY 2016","FY 2016","Currency=INR","Period=FY","BEST_FPERIOD_OVERRIDE=FY","FILING_STATUS=MR","EQY_CONSOLIDATED=Y","SCALING_FORMAT=MLN","FA_ADJUSTED=GAAP","Sort=A","Dates=H","DateFormat=P","Fill=—","Direction=H","UseDPDF=Y")</f>
        <v>#NAME?</v>
      </c>
      <c r="P20" s="25" t="e" cm="1">
        <f t="array" aca="1" ref="P20" ca="1">_xll.BDH("DATA IN Equity","IS_INT_INC","FY 2017","FY 2017","Currency=INR","Period=FY","BEST_FPERIOD_OVERRIDE=FY","FILING_STATUS=MR","EQY_CONSOLIDATED=Y","SCALING_FORMAT=MLN","FA_ADJUSTED=GAAP","Sort=A","Dates=H","DateFormat=P","Fill=—","Direction=H","UseDPDF=Y")</f>
        <v>#NAME?</v>
      </c>
      <c r="Q20" s="25" t="e" cm="1">
        <f t="array" aca="1" ref="Q20" ca="1">_xll.BDH("DATA IN Equity","IS_INT_INC","FY 2018","FY 2018","Currency=INR","Period=FY","BEST_FPERIOD_OVERRIDE=FY","FILING_STATUS=MR","EQY_CONSOLIDATED=Y","SCALING_FORMAT=MLN","FA_ADJUSTED=GAAP","Sort=A","Dates=H","DateFormat=P","Fill=—","Direction=H","UseDPDF=Y")</f>
        <v>#NAME?</v>
      </c>
      <c r="R20" s="25" t="e" cm="1">
        <f t="array" aca="1" ref="R20" ca="1">_xll.BDH("DATA IN Equity","IS_INT_INC","FY 2019","FY 2019","Currency=INR","Period=FY","BEST_FPERIOD_OVERRIDE=FY","FILING_STATUS=MR","EQY_CONSOLIDATED=Y","SCALING_FORMAT=MLN","FA_ADJUSTED=GAAP","Sort=A","Dates=H","DateFormat=P","Fill=—","Direction=H","UseDPDF=Y")</f>
        <v>#NAME?</v>
      </c>
      <c r="S20" s="25" t="e" cm="1">
        <f t="array" aca="1" ref="S20" ca="1">_xll.BDH("DATA IN Equity","IS_INT_INC","FY 2020","FY 2020","Currency=INR","Period=FY","BEST_FPERIOD_OVERRIDE=FY","FILING_STATUS=MR","EQY_CONSOLIDATED=Y","SCALING_FORMAT=MLN","FA_ADJUSTED=GAAP","Sort=A","Dates=H","DateFormat=P","Fill=—","Direction=H","UseDPDF=Y")</f>
        <v>#NAME?</v>
      </c>
      <c r="T20" s="25" t="e" cm="1">
        <f t="array" aca="1" ref="T20" ca="1">_xll.BDH("DATA IN Equity","IS_INT_INC","FY 2021","FY 2021","Currency=INR","Period=FY","BEST_FPERIOD_OVERRIDE=FY","FILING_STATUS=MR","EQY_CONSOLIDATED=Y","SCALING_FORMAT=MLN","FA_ADJUSTED=GAAP","Sort=A","Dates=H","DateFormat=P","Fill=—","Direction=H","UseDPDF=Y")</f>
        <v>#NAME?</v>
      </c>
      <c r="U20" s="25" t="e" cm="1">
        <f t="array" aca="1" ref="U20" ca="1">_xll.BDH("DATA IN Equity","IS_INT_INC","FY 2022","FY 2022","Currency=INR","Period=FY","BEST_FPERIOD_OVERRIDE=FY","FILING_STATUS=MR","EQY_CONSOLIDATED=Y","SCALING_FORMAT=MLN","FA_ADJUSTED=GAAP","Sort=A","Dates=H","DateFormat=P","Fill=—","Direction=H","UseDPDF=Y")</f>
        <v>#NAME?</v>
      </c>
      <c r="V20" s="25" t="e" cm="1">
        <f t="array" aca="1" ref="V20" ca="1">_xll.BDH("DATA IN Equity","IS_INT_INC","FY 2023","FY 2023","Currency=INR","Period=FY","BEST_FPERIOD_OVERRIDE=FY","FILING_STATUS=MR","EQY_CONSOLIDATED=Y","SCALING_FORMAT=MLN","FA_ADJUSTED=GAAP","Sort=A","Dates=H","DateFormat=P","Fill=—","Direction=H","UseDPDF=Y")</f>
        <v>#NAME?</v>
      </c>
      <c r="W20" s="25" t="e" cm="1">
        <f t="array" aca="1" ref="W20" ca="1">_xll.BDH("DATA IN Equity","IS_INT_INC","FY 2024","FY 2024","Currency=INR","Period=FY","BEST_FPERIOD_OVERRIDE=FY","FILING_STATUS=MR","EQY_CONSOLIDATED=Y","SCALING_FORMAT=MLN","FA_ADJUSTED=GAAP","Sort=A","Dates=H","DateFormat=P","Fill=—","Direction=H","UseDPDF=Y")</f>
        <v>#NAME?</v>
      </c>
      <c r="X20" s="25" t="e" cm="1">
        <f t="array" aca="1" ref="X20" ca="1">_xll.BDH("DATA IN Equity","IS_INT_INC","FY 2025","FY 2025","Currency=INR","Period=FY","BEST_FPERIOD_OVERRIDE=FY","FILING_STATUS=MR","EQY_CONSOLIDATED=Y","SCALING_FORMAT=MLN","FA_ADJUSTED=GAAP","Sort=A","Dates=H","DateFormat=P","Fill=—","Direction=H","UseDPDF=Y")</f>
        <v>#NAME?</v>
      </c>
      <c r="Y20" s="28"/>
      <c r="Z20" s="25"/>
      <c r="AA20" s="25"/>
    </row>
    <row r="21" spans="1:27" x14ac:dyDescent="0.2">
      <c r="A21" s="10" t="s">
        <v>146</v>
      </c>
      <c r="B21" s="10" t="s">
        <v>147</v>
      </c>
      <c r="C21" s="13" t="e" cm="1">
        <f t="array" aca="1" ref="C21" ca="1">_xll.BDH("DATA IN Equity","IS_OTHER_INVESTMENT_INCOME_LOSS","FY 2004","FY 2004","Currency=INR","Period=FY","BEST_FPERIOD_OVERRIDE=FY","FILING_STATUS=MR","EQY_CONSOLIDATED=Y","SCALING_FORMAT=MLN","FA_ADJUSTED=GAAP","Sort=A","Dates=H","DateFormat=P","Fill=—","Direction=H","UseDPDF=Y")</f>
        <v>#NAME?</v>
      </c>
      <c r="D21" s="13" t="e" cm="1">
        <f t="array" aca="1" ref="D21" ca="1">_xll.BDH("DATA IN Equity","IS_OTHER_INVESTMENT_INCOME_LOSS","FY 2005","FY 2005","Currency=INR","Period=FY","BEST_FPERIOD_OVERRIDE=FY","FILING_STATUS=MR","EQY_CONSOLIDATED=Y","SCALING_FORMAT=MLN","FA_ADJUSTED=GAAP","Sort=A","Dates=H","DateFormat=P","Fill=—","Direction=H","UseDPDF=Y")</f>
        <v>#NAME?</v>
      </c>
      <c r="E21" s="13" t="e" cm="1">
        <f t="array" aca="1" ref="E21" ca="1">_xll.BDH("DATA IN Equity","IS_OTHER_INVESTMENT_INCOME_LOSS","FY 2006","FY 2006","Currency=INR","Period=FY","BEST_FPERIOD_OVERRIDE=FY","FILING_STATUS=MR","EQY_CONSOLIDATED=Y","SCALING_FORMAT=MLN","FA_ADJUSTED=GAAP","Sort=A","Dates=H","DateFormat=P","Fill=—","Direction=H","UseDPDF=Y")</f>
        <v>#NAME?</v>
      </c>
      <c r="F21" s="13" t="e" cm="1">
        <f t="array" aca="1" ref="F21" ca="1">_xll.BDH("DATA IN Equity","IS_OTHER_INVESTMENT_INCOME_LOSS","FY 2007","FY 2007","Currency=INR","Period=FY","BEST_FPERIOD_OVERRIDE=FY","FILING_STATUS=MR","EQY_CONSOLIDATED=Y","SCALING_FORMAT=MLN","FA_ADJUSTED=GAAP","Sort=A","Dates=H","DateFormat=P","Fill=—","Direction=H","UseDPDF=Y")</f>
        <v>#NAME?</v>
      </c>
      <c r="G21" s="13" t="e" cm="1">
        <f t="array" aca="1" ref="G21" ca="1">_xll.BDH("DATA IN Equity","IS_OTHER_INVESTMENT_INCOME_LOSS","FY 2008","FY 2008","Currency=INR","Period=FY","BEST_FPERIOD_OVERRIDE=FY","FILING_STATUS=MR","EQY_CONSOLIDATED=Y","SCALING_FORMAT=MLN","FA_ADJUSTED=GAAP","Sort=A","Dates=H","DateFormat=P","Fill=—","Direction=H","UseDPDF=Y")</f>
        <v>#NAME?</v>
      </c>
      <c r="H21" s="13" t="e" cm="1">
        <f t="array" aca="1" ref="H21" ca="1">_xll.BDH("DATA IN Equity","IS_OTHER_INVESTMENT_INCOME_LOSS","FY 2009","FY 2009","Currency=INR","Period=FY","BEST_FPERIOD_OVERRIDE=FY","FILING_STATUS=MR","EQY_CONSOLIDATED=Y","SCALING_FORMAT=MLN","FA_ADJUSTED=GAAP","Sort=A","Dates=H","DateFormat=P","Fill=—","Direction=H","UseDPDF=Y")</f>
        <v>#NAME?</v>
      </c>
      <c r="I21" s="13" t="e" cm="1">
        <f t="array" aca="1" ref="I21" ca="1">_xll.BDH("DATA IN Equity","IS_OTHER_INVESTMENT_INCOME_LOSS","FY 2010","FY 2010","Currency=INR","Period=FY","BEST_FPERIOD_OVERRIDE=FY","FILING_STATUS=MR","EQY_CONSOLIDATED=Y","SCALING_FORMAT=MLN","FA_ADJUSTED=GAAP","Sort=A","Dates=H","DateFormat=P","Fill=—","Direction=H","UseDPDF=Y")</f>
        <v>#NAME?</v>
      </c>
      <c r="J21" s="13" t="e" cm="1">
        <f t="array" aca="1" ref="J21" ca="1">_xll.BDH("DATA IN Equity","IS_OTHER_INVESTMENT_INCOME_LOSS","FY 2011","FY 2011","Currency=INR","Period=FY","BEST_FPERIOD_OVERRIDE=FY","FILING_STATUS=MR","EQY_CONSOLIDATED=Y","SCALING_FORMAT=MLN","FA_ADJUSTED=GAAP","Sort=A","Dates=H","DateFormat=P","Fill=—","Direction=H","UseDPDF=Y")</f>
        <v>#NAME?</v>
      </c>
      <c r="K21" s="13" t="e" cm="1">
        <f t="array" aca="1" ref="K21" ca="1">_xll.BDH("DATA IN Equity","IS_OTHER_INVESTMENT_INCOME_LOSS","FY 2012","FY 2012","Currency=INR","Period=FY","BEST_FPERIOD_OVERRIDE=FY","FILING_STATUS=MR","EQY_CONSOLIDATED=Y","SCALING_FORMAT=MLN","FA_ADJUSTED=GAAP","Sort=A","Dates=H","DateFormat=P","Fill=—","Direction=H","UseDPDF=Y")</f>
        <v>#NAME?</v>
      </c>
      <c r="L21" s="13" t="e" cm="1">
        <f t="array" aca="1" ref="L21" ca="1">_xll.BDH("DATA IN Equity","IS_OTHER_INVESTMENT_INCOME_LOSS","FY 2013","FY 2013","Currency=INR","Period=FY","BEST_FPERIOD_OVERRIDE=FY","FILING_STATUS=MR","EQY_CONSOLIDATED=Y","SCALING_FORMAT=MLN","FA_ADJUSTED=GAAP","Sort=A","Dates=H","DateFormat=P","Fill=—","Direction=H","UseDPDF=Y")</f>
        <v>#NAME?</v>
      </c>
      <c r="M21" s="13" t="e" cm="1">
        <f t="array" aca="1" ref="M21" ca="1">_xll.BDH("DATA IN Equity","IS_OTHER_INVESTMENT_INCOME_LOSS","FY 2014","FY 2014","Currency=INR","Period=FY","BEST_FPERIOD_OVERRIDE=FY","FILING_STATUS=MR","EQY_CONSOLIDATED=Y","SCALING_FORMAT=MLN","FA_ADJUSTED=GAAP","Sort=A","Dates=H","DateFormat=P","Fill=—","Direction=H","UseDPDF=Y")</f>
        <v>#NAME?</v>
      </c>
      <c r="N21" s="13" t="e" cm="1">
        <f t="array" aca="1" ref="N21" ca="1">_xll.BDH("DATA IN Equity","IS_OTHER_INVESTMENT_INCOME_LOSS","FY 2015","FY 2015","Currency=INR","Period=FY","BEST_FPERIOD_OVERRIDE=FY","FILING_STATUS=MR","EQY_CONSOLIDATED=Y","SCALING_FORMAT=MLN","FA_ADJUSTED=GAAP","Sort=A","Dates=H","DateFormat=P","Fill=—","Direction=H","UseDPDF=Y")</f>
        <v>#NAME?</v>
      </c>
      <c r="O21" s="13" t="e" cm="1">
        <f t="array" aca="1" ref="O21" ca="1">_xll.BDH("DATA IN Equity","IS_OTHER_INVESTMENT_INCOME_LOSS","FY 2016","FY 2016","Currency=INR","Period=FY","BEST_FPERIOD_OVERRIDE=FY","FILING_STATUS=MR","EQY_CONSOLIDATED=Y","SCALING_FORMAT=MLN","FA_ADJUSTED=GAAP","Sort=A","Dates=H","DateFormat=P","Fill=—","Direction=H","UseDPDF=Y")</f>
        <v>#NAME?</v>
      </c>
      <c r="P21" s="13" t="e" cm="1">
        <f t="array" aca="1" ref="P21" ca="1">_xll.BDH("DATA IN Equity","IS_OTHER_INVESTMENT_INCOME_LOSS","FY 2017","FY 2017","Currency=INR","Period=FY","BEST_FPERIOD_OVERRIDE=FY","FILING_STATUS=MR","EQY_CONSOLIDATED=Y","SCALING_FORMAT=MLN","FA_ADJUSTED=GAAP","Sort=A","Dates=H","DateFormat=P","Fill=—","Direction=H","UseDPDF=Y")</f>
        <v>#NAME?</v>
      </c>
      <c r="Q21" s="13" t="e" cm="1">
        <f t="array" aca="1" ref="Q21" ca="1">_xll.BDH("DATA IN Equity","IS_OTHER_INVESTMENT_INCOME_LOSS","FY 2018","FY 2018","Currency=INR","Period=FY","BEST_FPERIOD_OVERRIDE=FY","FILING_STATUS=MR","EQY_CONSOLIDATED=Y","SCALING_FORMAT=MLN","FA_ADJUSTED=GAAP","Sort=A","Dates=H","DateFormat=P","Fill=—","Direction=H","UseDPDF=Y")</f>
        <v>#NAME?</v>
      </c>
      <c r="R21" s="13" t="e" cm="1">
        <f t="array" aca="1" ref="R21" ca="1">_xll.BDH("DATA IN Equity","IS_OTHER_INVESTMENT_INCOME_LOSS","FY 2019","FY 2019","Currency=INR","Period=FY","BEST_FPERIOD_OVERRIDE=FY","FILING_STATUS=MR","EQY_CONSOLIDATED=Y","SCALING_FORMAT=MLN","FA_ADJUSTED=GAAP","Sort=A","Dates=H","DateFormat=P","Fill=—","Direction=H","UseDPDF=Y")</f>
        <v>#NAME?</v>
      </c>
      <c r="S21" s="13" t="e" cm="1">
        <f t="array" aca="1" ref="S21" ca="1">_xll.BDH("DATA IN Equity","IS_OTHER_INVESTMENT_INCOME_LOSS","FY 2020","FY 2020","Currency=INR","Period=FY","BEST_FPERIOD_OVERRIDE=FY","FILING_STATUS=MR","EQY_CONSOLIDATED=Y","SCALING_FORMAT=MLN","FA_ADJUSTED=GAAP","Sort=A","Dates=H","DateFormat=P","Fill=—","Direction=H","UseDPDF=Y")</f>
        <v>#NAME?</v>
      </c>
      <c r="T21" s="13" t="e" cm="1">
        <f t="array" aca="1" ref="T21" ca="1">_xll.BDH("DATA IN Equity","IS_OTHER_INVESTMENT_INCOME_LOSS","FY 2021","FY 2021","Currency=INR","Period=FY","BEST_FPERIOD_OVERRIDE=FY","FILING_STATUS=MR","EQY_CONSOLIDATED=Y","SCALING_FORMAT=MLN","FA_ADJUSTED=GAAP","Sort=A","Dates=H","DateFormat=P","Fill=—","Direction=H","UseDPDF=Y")</f>
        <v>#NAME?</v>
      </c>
      <c r="U21" s="13" t="e" cm="1">
        <f t="array" aca="1" ref="U21" ca="1">_xll.BDH("DATA IN Equity","IS_OTHER_INVESTMENT_INCOME_LOSS","FY 2022","FY 2022","Currency=INR","Period=FY","BEST_FPERIOD_OVERRIDE=FY","FILING_STATUS=MR","EQY_CONSOLIDATED=Y","SCALING_FORMAT=MLN","FA_ADJUSTED=GAAP","Sort=A","Dates=H","DateFormat=P","Fill=—","Direction=H","UseDPDF=Y")</f>
        <v>#NAME?</v>
      </c>
      <c r="V21" s="13" t="e" cm="1">
        <f t="array" aca="1" ref="V21" ca="1">_xll.BDH("DATA IN Equity","IS_OTHER_INVESTMENT_INCOME_LOSS","FY 2023","FY 2023","Currency=INR","Period=FY","BEST_FPERIOD_OVERRIDE=FY","FILING_STATUS=MR","EQY_CONSOLIDATED=Y","SCALING_FORMAT=MLN","FA_ADJUSTED=GAAP","Sort=A","Dates=H","DateFormat=P","Fill=—","Direction=H","UseDPDF=Y")</f>
        <v>#NAME?</v>
      </c>
      <c r="W21" s="13" t="e" cm="1">
        <f t="array" aca="1" ref="W21" ca="1">_xll.BDH("DATA IN Equity","IS_OTHER_INVESTMENT_INCOME_LOSS","FY 2024","FY 2024","Currency=INR","Period=FY","BEST_FPERIOD_OVERRIDE=FY","FILING_STATUS=MR","EQY_CONSOLIDATED=Y","SCALING_FORMAT=MLN","FA_ADJUSTED=GAAP","Sort=A","Dates=H","DateFormat=P","Fill=—","Direction=H","UseDPDF=Y")</f>
        <v>#NAME?</v>
      </c>
      <c r="X21" s="13" t="e" cm="1">
        <f t="array" aca="1" ref="X21" ca="1">_xll.BDH("DATA IN Equity","IS_OTHER_INVESTMENT_INCOME_LOSS","FY 2025","FY 2025","Currency=INR","Period=FY","BEST_FPERIOD_OVERRIDE=FY","FILING_STATUS=MR","EQY_CONSOLIDATED=Y","SCALING_FORMAT=MLN","FA_ADJUSTED=GAAP","Sort=A","Dates=H","DateFormat=P","Fill=—","Direction=H","UseDPDF=Y")</f>
        <v>#NAME?</v>
      </c>
      <c r="Y21" s="16"/>
      <c r="Z21" s="13"/>
      <c r="AA21" s="13"/>
    </row>
    <row r="22" spans="1:27" x14ac:dyDescent="0.2">
      <c r="A22" s="10" t="s">
        <v>148</v>
      </c>
      <c r="B22" s="10" t="s">
        <v>149</v>
      </c>
      <c r="C22" s="13" t="e" cm="1">
        <f t="array" aca="1" ref="C22" ca="1">_xll.BDH("DATA IN Equity","IS_FOREIGN_EXCH_LOSS","FY 2004","FY 2004","Currency=INR","Period=FY","BEST_FPERIOD_OVERRIDE=FY","FILING_STATUS=MR","EQY_CONSOLIDATED=Y","SCALING_FORMAT=MLN","FA_ADJUSTED=GAAP","Sort=A","Dates=H","DateFormat=P","Fill=—","Direction=H","UseDPDF=Y")</f>
        <v>#NAME?</v>
      </c>
      <c r="D22" s="13" t="e" cm="1">
        <f t="array" aca="1" ref="D22" ca="1">_xll.BDH("DATA IN Equity","IS_FOREIGN_EXCH_LOSS","FY 2005","FY 2005","Currency=INR","Period=FY","BEST_FPERIOD_OVERRIDE=FY","FILING_STATUS=MR","EQY_CONSOLIDATED=Y","SCALING_FORMAT=MLN","FA_ADJUSTED=GAAP","Sort=A","Dates=H","DateFormat=P","Fill=—","Direction=H","UseDPDF=Y")</f>
        <v>#NAME?</v>
      </c>
      <c r="E22" s="13" t="e" cm="1">
        <f t="array" aca="1" ref="E22" ca="1">_xll.BDH("DATA IN Equity","IS_FOREIGN_EXCH_LOSS","FY 2006","FY 2006","Currency=INR","Period=FY","BEST_FPERIOD_OVERRIDE=FY","FILING_STATUS=MR","EQY_CONSOLIDATED=Y","SCALING_FORMAT=MLN","FA_ADJUSTED=GAAP","Sort=A","Dates=H","DateFormat=P","Fill=—","Direction=H","UseDPDF=Y")</f>
        <v>#NAME?</v>
      </c>
      <c r="F22" s="13" t="e" cm="1">
        <f t="array" aca="1" ref="F22" ca="1">_xll.BDH("DATA IN Equity","IS_FOREIGN_EXCH_LOSS","FY 2007","FY 2007","Currency=INR","Period=FY","BEST_FPERIOD_OVERRIDE=FY","FILING_STATUS=MR","EQY_CONSOLIDATED=Y","SCALING_FORMAT=MLN","FA_ADJUSTED=GAAP","Sort=A","Dates=H","DateFormat=P","Fill=—","Direction=H","UseDPDF=Y")</f>
        <v>#NAME?</v>
      </c>
      <c r="G22" s="13" t="e" cm="1">
        <f t="array" aca="1" ref="G22" ca="1">_xll.BDH("DATA IN Equity","IS_FOREIGN_EXCH_LOSS","FY 2008","FY 2008","Currency=INR","Period=FY","BEST_FPERIOD_OVERRIDE=FY","FILING_STATUS=MR","EQY_CONSOLIDATED=Y","SCALING_FORMAT=MLN","FA_ADJUSTED=GAAP","Sort=A","Dates=H","DateFormat=P","Fill=—","Direction=H","UseDPDF=Y")</f>
        <v>#NAME?</v>
      </c>
      <c r="H22" s="13" t="e" cm="1">
        <f t="array" aca="1" ref="H22" ca="1">_xll.BDH("DATA IN Equity","IS_FOREIGN_EXCH_LOSS","FY 2009","FY 2009","Currency=INR","Period=FY","BEST_FPERIOD_OVERRIDE=FY","FILING_STATUS=MR","EQY_CONSOLIDATED=Y","SCALING_FORMAT=MLN","FA_ADJUSTED=GAAP","Sort=A","Dates=H","DateFormat=P","Fill=—","Direction=H","UseDPDF=Y")</f>
        <v>#NAME?</v>
      </c>
      <c r="I22" s="13" t="e" cm="1">
        <f t="array" aca="1" ref="I22" ca="1">_xll.BDH("DATA IN Equity","IS_FOREIGN_EXCH_LOSS","FY 2010","FY 2010","Currency=INR","Period=FY","BEST_FPERIOD_OVERRIDE=FY","FILING_STATUS=MR","EQY_CONSOLIDATED=Y","SCALING_FORMAT=MLN","FA_ADJUSTED=GAAP","Sort=A","Dates=H","DateFormat=P","Fill=—","Direction=H","UseDPDF=Y")</f>
        <v>#NAME?</v>
      </c>
      <c r="J22" s="13" t="e" cm="1">
        <f t="array" aca="1" ref="J22" ca="1">_xll.BDH("DATA IN Equity","IS_FOREIGN_EXCH_LOSS","FY 2011","FY 2011","Currency=INR","Period=FY","BEST_FPERIOD_OVERRIDE=FY","FILING_STATUS=MR","EQY_CONSOLIDATED=Y","SCALING_FORMAT=MLN","FA_ADJUSTED=GAAP","Sort=A","Dates=H","DateFormat=P","Fill=—","Direction=H","UseDPDF=Y")</f>
        <v>#NAME?</v>
      </c>
      <c r="K22" s="13" t="e" cm="1">
        <f t="array" aca="1" ref="K22" ca="1">_xll.BDH("DATA IN Equity","IS_FOREIGN_EXCH_LOSS","FY 2012","FY 2012","Currency=INR","Period=FY","BEST_FPERIOD_OVERRIDE=FY","FILING_STATUS=MR","EQY_CONSOLIDATED=Y","SCALING_FORMAT=MLN","FA_ADJUSTED=GAAP","Sort=A","Dates=H","DateFormat=P","Fill=—","Direction=H","UseDPDF=Y")</f>
        <v>#NAME?</v>
      </c>
      <c r="L22" s="13" t="e" cm="1">
        <f t="array" aca="1" ref="L22" ca="1">_xll.BDH("DATA IN Equity","IS_FOREIGN_EXCH_LOSS","FY 2013","FY 2013","Currency=INR","Period=FY","BEST_FPERIOD_OVERRIDE=FY","FILING_STATUS=MR","EQY_CONSOLIDATED=Y","SCALING_FORMAT=MLN","FA_ADJUSTED=GAAP","Sort=A","Dates=H","DateFormat=P","Fill=—","Direction=H","UseDPDF=Y")</f>
        <v>#NAME?</v>
      </c>
      <c r="M22" s="13" t="e" cm="1">
        <f t="array" aca="1" ref="M22" ca="1">_xll.BDH("DATA IN Equity","IS_FOREIGN_EXCH_LOSS","FY 2014","FY 2014","Currency=INR","Period=FY","BEST_FPERIOD_OVERRIDE=FY","FILING_STATUS=MR","EQY_CONSOLIDATED=Y","SCALING_FORMAT=MLN","FA_ADJUSTED=GAAP","Sort=A","Dates=H","DateFormat=P","Fill=—","Direction=H","UseDPDF=Y")</f>
        <v>#NAME?</v>
      </c>
      <c r="N22" s="13" t="e" cm="1">
        <f t="array" aca="1" ref="N22" ca="1">_xll.BDH("DATA IN Equity","IS_FOREIGN_EXCH_LOSS","FY 2015","FY 2015","Currency=INR","Period=FY","BEST_FPERIOD_OVERRIDE=FY","FILING_STATUS=MR","EQY_CONSOLIDATED=Y","SCALING_FORMAT=MLN","FA_ADJUSTED=GAAP","Sort=A","Dates=H","DateFormat=P","Fill=—","Direction=H","UseDPDF=Y")</f>
        <v>#NAME?</v>
      </c>
      <c r="O22" s="13" t="e" cm="1">
        <f t="array" aca="1" ref="O22" ca="1">_xll.BDH("DATA IN Equity","IS_FOREIGN_EXCH_LOSS","FY 2016","FY 2016","Currency=INR","Period=FY","BEST_FPERIOD_OVERRIDE=FY","FILING_STATUS=MR","EQY_CONSOLIDATED=Y","SCALING_FORMAT=MLN","FA_ADJUSTED=GAAP","Sort=A","Dates=H","DateFormat=P","Fill=—","Direction=H","UseDPDF=Y")</f>
        <v>#NAME?</v>
      </c>
      <c r="P22" s="13" t="e" cm="1">
        <f t="array" aca="1" ref="P22" ca="1">_xll.BDH("DATA IN Equity","IS_FOREIGN_EXCH_LOSS","FY 2017","FY 2017","Currency=INR","Period=FY","BEST_FPERIOD_OVERRIDE=FY","FILING_STATUS=MR","EQY_CONSOLIDATED=Y","SCALING_FORMAT=MLN","FA_ADJUSTED=GAAP","Sort=A","Dates=H","DateFormat=P","Fill=—","Direction=H","UseDPDF=Y")</f>
        <v>#NAME?</v>
      </c>
      <c r="Q22" s="13" t="e" cm="1">
        <f t="array" aca="1" ref="Q22" ca="1">_xll.BDH("DATA IN Equity","IS_FOREIGN_EXCH_LOSS","FY 2018","FY 2018","Currency=INR","Period=FY","BEST_FPERIOD_OVERRIDE=FY","FILING_STATUS=MR","EQY_CONSOLIDATED=Y","SCALING_FORMAT=MLN","FA_ADJUSTED=GAAP","Sort=A","Dates=H","DateFormat=P","Fill=—","Direction=H","UseDPDF=Y")</f>
        <v>#NAME?</v>
      </c>
      <c r="R22" s="13" t="e" cm="1">
        <f t="array" aca="1" ref="R22" ca="1">_xll.BDH("DATA IN Equity","IS_FOREIGN_EXCH_LOSS","FY 2019","FY 2019","Currency=INR","Period=FY","BEST_FPERIOD_OVERRIDE=FY","FILING_STATUS=MR","EQY_CONSOLIDATED=Y","SCALING_FORMAT=MLN","FA_ADJUSTED=GAAP","Sort=A","Dates=H","DateFormat=P","Fill=—","Direction=H","UseDPDF=Y")</f>
        <v>#NAME?</v>
      </c>
      <c r="S22" s="13" t="e" cm="1">
        <f t="array" aca="1" ref="S22" ca="1">_xll.BDH("DATA IN Equity","IS_FOREIGN_EXCH_LOSS","FY 2020","FY 2020","Currency=INR","Period=FY","BEST_FPERIOD_OVERRIDE=FY","FILING_STATUS=MR","EQY_CONSOLIDATED=Y","SCALING_FORMAT=MLN","FA_ADJUSTED=GAAP","Sort=A","Dates=H","DateFormat=P","Fill=—","Direction=H","UseDPDF=Y")</f>
        <v>#NAME?</v>
      </c>
      <c r="T22" s="13" t="e" cm="1">
        <f t="array" aca="1" ref="T22" ca="1">_xll.BDH("DATA IN Equity","IS_FOREIGN_EXCH_LOSS","FY 2021","FY 2021","Currency=INR","Period=FY","BEST_FPERIOD_OVERRIDE=FY","FILING_STATUS=MR","EQY_CONSOLIDATED=Y","SCALING_FORMAT=MLN","FA_ADJUSTED=GAAP","Sort=A","Dates=H","DateFormat=P","Fill=—","Direction=H","UseDPDF=Y")</f>
        <v>#NAME?</v>
      </c>
      <c r="U22" s="13" t="e" cm="1">
        <f t="array" aca="1" ref="U22" ca="1">_xll.BDH("DATA IN Equity","IS_FOREIGN_EXCH_LOSS","FY 2022","FY 2022","Currency=INR","Period=FY","BEST_FPERIOD_OVERRIDE=FY","FILING_STATUS=MR","EQY_CONSOLIDATED=Y","SCALING_FORMAT=MLN","FA_ADJUSTED=GAAP","Sort=A","Dates=H","DateFormat=P","Fill=—","Direction=H","UseDPDF=Y")</f>
        <v>#NAME?</v>
      </c>
      <c r="V22" s="13" t="e" cm="1">
        <f t="array" aca="1" ref="V22" ca="1">_xll.BDH("DATA IN Equity","IS_FOREIGN_EXCH_LOSS","FY 2023","FY 2023","Currency=INR","Period=FY","BEST_FPERIOD_OVERRIDE=FY","FILING_STATUS=MR","EQY_CONSOLIDATED=Y","SCALING_FORMAT=MLN","FA_ADJUSTED=GAAP","Sort=A","Dates=H","DateFormat=P","Fill=—","Direction=H","UseDPDF=Y")</f>
        <v>#NAME?</v>
      </c>
      <c r="W22" s="13" t="e" cm="1">
        <f t="array" aca="1" ref="W22" ca="1">_xll.BDH("DATA IN Equity","IS_FOREIGN_EXCH_LOSS","FY 2024","FY 2024","Currency=INR","Period=FY","BEST_FPERIOD_OVERRIDE=FY","FILING_STATUS=MR","EQY_CONSOLIDATED=Y","SCALING_FORMAT=MLN","FA_ADJUSTED=GAAP","Sort=A","Dates=H","DateFormat=P","Fill=—","Direction=H","UseDPDF=Y")</f>
        <v>#NAME?</v>
      </c>
      <c r="X22" s="13" t="e" cm="1">
        <f t="array" aca="1" ref="X22" ca="1">_xll.BDH("DATA IN Equity","IS_FOREIGN_EXCH_LOSS","FY 2025","FY 2025","Currency=INR","Period=FY","BEST_FPERIOD_OVERRIDE=FY","FILING_STATUS=MR","EQY_CONSOLIDATED=Y","SCALING_FORMAT=MLN","FA_ADJUSTED=GAAP","Sort=A","Dates=H","DateFormat=P","Fill=—","Direction=H","UseDPDF=Y")</f>
        <v>#NAME?</v>
      </c>
      <c r="Y22" s="16"/>
      <c r="Z22" s="13"/>
      <c r="AA22" s="13"/>
    </row>
    <row r="23" spans="1:27" x14ac:dyDescent="0.2">
      <c r="A23" s="10" t="s">
        <v>150</v>
      </c>
      <c r="B23" s="10" t="s">
        <v>151</v>
      </c>
      <c r="C23" s="13" t="e" cm="1">
        <f t="array" aca="1" ref="C23" ca="1">_xll.BDH("DATA IN Equity","INCOME_LOSS_FROM_AFFILIATES","FY 2004","FY 2004","Currency=INR","Period=FY","BEST_FPERIOD_OVERRIDE=FY","FILING_STATUS=MR","EQY_CONSOLIDATED=Y","SCALING_FORMAT=MLN","FA_ADJUSTED=GAAP","Sort=A","Dates=H","DateFormat=P","Fill=—","Direction=H","UseDPDF=Y")</f>
        <v>#NAME?</v>
      </c>
      <c r="D23" s="13" t="e" cm="1">
        <f t="array" aca="1" ref="D23" ca="1">_xll.BDH("DATA IN Equity","INCOME_LOSS_FROM_AFFILIATES","FY 2005","FY 2005","Currency=INR","Period=FY","BEST_FPERIOD_OVERRIDE=FY","FILING_STATUS=MR","EQY_CONSOLIDATED=Y","SCALING_FORMAT=MLN","FA_ADJUSTED=GAAP","Sort=A","Dates=H","DateFormat=P","Fill=—","Direction=H","UseDPDF=Y")</f>
        <v>#NAME?</v>
      </c>
      <c r="E23" s="13" t="e" cm="1">
        <f t="array" aca="1" ref="E23" ca="1">_xll.BDH("DATA IN Equity","INCOME_LOSS_FROM_AFFILIATES","FY 2006","FY 2006","Currency=INR","Period=FY","BEST_FPERIOD_OVERRIDE=FY","FILING_STATUS=MR","EQY_CONSOLIDATED=Y","SCALING_FORMAT=MLN","FA_ADJUSTED=GAAP","Sort=A","Dates=H","DateFormat=P","Fill=—","Direction=H","UseDPDF=Y")</f>
        <v>#NAME?</v>
      </c>
      <c r="F23" s="13" t="e" cm="1">
        <f t="array" aca="1" ref="F23" ca="1">_xll.BDH("DATA IN Equity","INCOME_LOSS_FROM_AFFILIATES","FY 2007","FY 2007","Currency=INR","Period=FY","BEST_FPERIOD_OVERRIDE=FY","FILING_STATUS=MR","EQY_CONSOLIDATED=Y","SCALING_FORMAT=MLN","FA_ADJUSTED=GAAP","Sort=A","Dates=H","DateFormat=P","Fill=—","Direction=H","UseDPDF=Y")</f>
        <v>#NAME?</v>
      </c>
      <c r="G23" s="13" t="e" cm="1">
        <f t="array" aca="1" ref="G23" ca="1">_xll.BDH("DATA IN Equity","INCOME_LOSS_FROM_AFFILIATES","FY 2008","FY 2008","Currency=INR","Period=FY","BEST_FPERIOD_OVERRIDE=FY","FILING_STATUS=MR","EQY_CONSOLIDATED=Y","SCALING_FORMAT=MLN","FA_ADJUSTED=GAAP","Sort=A","Dates=H","DateFormat=P","Fill=—","Direction=H","UseDPDF=Y")</f>
        <v>#NAME?</v>
      </c>
      <c r="H23" s="13" t="e" cm="1">
        <f t="array" aca="1" ref="H23" ca="1">_xll.BDH("DATA IN Equity","INCOME_LOSS_FROM_AFFILIATES","FY 2009","FY 2009","Currency=INR","Period=FY","BEST_FPERIOD_OVERRIDE=FY","FILING_STATUS=MR","EQY_CONSOLIDATED=Y","SCALING_FORMAT=MLN","FA_ADJUSTED=GAAP","Sort=A","Dates=H","DateFormat=P","Fill=—","Direction=H","UseDPDF=Y")</f>
        <v>#NAME?</v>
      </c>
      <c r="I23" s="13" t="e" cm="1">
        <f t="array" aca="1" ref="I23" ca="1">_xll.BDH("DATA IN Equity","INCOME_LOSS_FROM_AFFILIATES","FY 2010","FY 2010","Currency=INR","Period=FY","BEST_FPERIOD_OVERRIDE=FY","FILING_STATUS=MR","EQY_CONSOLIDATED=Y","SCALING_FORMAT=MLN","FA_ADJUSTED=GAAP","Sort=A","Dates=H","DateFormat=P","Fill=—","Direction=H","UseDPDF=Y")</f>
        <v>#NAME?</v>
      </c>
      <c r="J23" s="13" t="e" cm="1">
        <f t="array" aca="1" ref="J23" ca="1">_xll.BDH("DATA IN Equity","INCOME_LOSS_FROM_AFFILIATES","FY 2011","FY 2011","Currency=INR","Period=FY","BEST_FPERIOD_OVERRIDE=FY","FILING_STATUS=MR","EQY_CONSOLIDATED=Y","SCALING_FORMAT=MLN","FA_ADJUSTED=GAAP","Sort=A","Dates=H","DateFormat=P","Fill=—","Direction=H","UseDPDF=Y")</f>
        <v>#NAME?</v>
      </c>
      <c r="K23" s="13" t="e" cm="1">
        <f t="array" aca="1" ref="K23" ca="1">_xll.BDH("DATA IN Equity","INCOME_LOSS_FROM_AFFILIATES","FY 2012","FY 2012","Currency=INR","Period=FY","BEST_FPERIOD_OVERRIDE=FY","FILING_STATUS=MR","EQY_CONSOLIDATED=Y","SCALING_FORMAT=MLN","FA_ADJUSTED=GAAP","Sort=A","Dates=H","DateFormat=P","Fill=—","Direction=H","UseDPDF=Y")</f>
        <v>#NAME?</v>
      </c>
      <c r="L23" s="13" t="e" cm="1">
        <f t="array" aca="1" ref="L23" ca="1">_xll.BDH("DATA IN Equity","INCOME_LOSS_FROM_AFFILIATES","FY 2013","FY 2013","Currency=INR","Period=FY","BEST_FPERIOD_OVERRIDE=FY","FILING_STATUS=MR","EQY_CONSOLIDATED=Y","SCALING_FORMAT=MLN","FA_ADJUSTED=GAAP","Sort=A","Dates=H","DateFormat=P","Fill=—","Direction=H","UseDPDF=Y")</f>
        <v>#NAME?</v>
      </c>
      <c r="M23" s="13" t="e" cm="1">
        <f t="array" aca="1" ref="M23" ca="1">_xll.BDH("DATA IN Equity","INCOME_LOSS_FROM_AFFILIATES","FY 2014","FY 2014","Currency=INR","Period=FY","BEST_FPERIOD_OVERRIDE=FY","FILING_STATUS=MR","EQY_CONSOLIDATED=Y","SCALING_FORMAT=MLN","FA_ADJUSTED=GAAP","Sort=A","Dates=H","DateFormat=P","Fill=—","Direction=H","UseDPDF=Y")</f>
        <v>#NAME?</v>
      </c>
      <c r="N23" s="13" t="e" cm="1">
        <f t="array" aca="1" ref="N23" ca="1">_xll.BDH("DATA IN Equity","INCOME_LOSS_FROM_AFFILIATES","FY 2015","FY 2015","Currency=INR","Period=FY","BEST_FPERIOD_OVERRIDE=FY","FILING_STATUS=MR","EQY_CONSOLIDATED=Y","SCALING_FORMAT=MLN","FA_ADJUSTED=GAAP","Sort=A","Dates=H","DateFormat=P","Fill=—","Direction=H","UseDPDF=Y")</f>
        <v>#NAME?</v>
      </c>
      <c r="O23" s="13" t="e" cm="1">
        <f t="array" aca="1" ref="O23" ca="1">_xll.BDH("DATA IN Equity","INCOME_LOSS_FROM_AFFILIATES","FY 2016","FY 2016","Currency=INR","Period=FY","BEST_FPERIOD_OVERRIDE=FY","FILING_STATUS=MR","EQY_CONSOLIDATED=Y","SCALING_FORMAT=MLN","FA_ADJUSTED=GAAP","Sort=A","Dates=H","DateFormat=P","Fill=—","Direction=H","UseDPDF=Y")</f>
        <v>#NAME?</v>
      </c>
      <c r="P23" s="13" t="e" cm="1">
        <f t="array" aca="1" ref="P23" ca="1">_xll.BDH("DATA IN Equity","INCOME_LOSS_FROM_AFFILIATES","FY 2017","FY 2017","Currency=INR","Period=FY","BEST_FPERIOD_OVERRIDE=FY","FILING_STATUS=MR","EQY_CONSOLIDATED=Y","SCALING_FORMAT=MLN","FA_ADJUSTED=GAAP","Sort=A","Dates=H","DateFormat=P","Fill=—","Direction=H","UseDPDF=Y")</f>
        <v>#NAME?</v>
      </c>
      <c r="Q23" s="13" t="e" cm="1">
        <f t="array" aca="1" ref="Q23" ca="1">_xll.BDH("DATA IN Equity","INCOME_LOSS_FROM_AFFILIATES","FY 2018","FY 2018","Currency=INR","Period=FY","BEST_FPERIOD_OVERRIDE=FY","FILING_STATUS=MR","EQY_CONSOLIDATED=Y","SCALING_FORMAT=MLN","FA_ADJUSTED=GAAP","Sort=A","Dates=H","DateFormat=P","Fill=—","Direction=H","UseDPDF=Y")</f>
        <v>#NAME?</v>
      </c>
      <c r="R23" s="13" t="e" cm="1">
        <f t="array" aca="1" ref="R23" ca="1">_xll.BDH("DATA IN Equity","INCOME_LOSS_FROM_AFFILIATES","FY 2019","FY 2019","Currency=INR","Period=FY","BEST_FPERIOD_OVERRIDE=FY","FILING_STATUS=MR","EQY_CONSOLIDATED=Y","SCALING_FORMAT=MLN","FA_ADJUSTED=GAAP","Sort=A","Dates=H","DateFormat=P","Fill=—","Direction=H","UseDPDF=Y")</f>
        <v>#NAME?</v>
      </c>
      <c r="S23" s="13" t="e" cm="1">
        <f t="array" aca="1" ref="S23" ca="1">_xll.BDH("DATA IN Equity","INCOME_LOSS_FROM_AFFILIATES","FY 2020","FY 2020","Currency=INR","Period=FY","BEST_FPERIOD_OVERRIDE=FY","FILING_STATUS=MR","EQY_CONSOLIDATED=Y","SCALING_FORMAT=MLN","FA_ADJUSTED=GAAP","Sort=A","Dates=H","DateFormat=P","Fill=—","Direction=H","UseDPDF=Y")</f>
        <v>#NAME?</v>
      </c>
      <c r="T23" s="13" t="e" cm="1">
        <f t="array" aca="1" ref="T23" ca="1">_xll.BDH("DATA IN Equity","INCOME_LOSS_FROM_AFFILIATES","FY 2021","FY 2021","Currency=INR","Period=FY","BEST_FPERIOD_OVERRIDE=FY","FILING_STATUS=MR","EQY_CONSOLIDATED=Y","SCALING_FORMAT=MLN","FA_ADJUSTED=GAAP","Sort=A","Dates=H","DateFormat=P","Fill=—","Direction=H","UseDPDF=Y")</f>
        <v>#NAME?</v>
      </c>
      <c r="U23" s="13" t="e" cm="1">
        <f t="array" aca="1" ref="U23" ca="1">_xll.BDH("DATA IN Equity","INCOME_LOSS_FROM_AFFILIATES","FY 2022","FY 2022","Currency=INR","Period=FY","BEST_FPERIOD_OVERRIDE=FY","FILING_STATUS=MR","EQY_CONSOLIDATED=Y","SCALING_FORMAT=MLN","FA_ADJUSTED=GAAP","Sort=A","Dates=H","DateFormat=P","Fill=—","Direction=H","UseDPDF=Y")</f>
        <v>#NAME?</v>
      </c>
      <c r="V23" s="13" t="e" cm="1">
        <f t="array" aca="1" ref="V23" ca="1">_xll.BDH("DATA IN Equity","INCOME_LOSS_FROM_AFFILIATES","FY 2023","FY 2023","Currency=INR","Period=FY","BEST_FPERIOD_OVERRIDE=FY","FILING_STATUS=MR","EQY_CONSOLIDATED=Y","SCALING_FORMAT=MLN","FA_ADJUSTED=GAAP","Sort=A","Dates=H","DateFormat=P","Fill=—","Direction=H","UseDPDF=Y")</f>
        <v>#NAME?</v>
      </c>
      <c r="W23" s="13" t="e" cm="1">
        <f t="array" aca="1" ref="W23" ca="1">_xll.BDH("DATA IN Equity","INCOME_LOSS_FROM_AFFILIATES","FY 2024","FY 2024","Currency=INR","Period=FY","BEST_FPERIOD_OVERRIDE=FY","FILING_STATUS=MR","EQY_CONSOLIDATED=Y","SCALING_FORMAT=MLN","FA_ADJUSTED=GAAP","Sort=A","Dates=H","DateFormat=P","Fill=—","Direction=H","UseDPDF=Y")</f>
        <v>#NAME?</v>
      </c>
      <c r="X23" s="13" t="e" cm="1">
        <f t="array" aca="1" ref="X23" ca="1">_xll.BDH("DATA IN Equity","INCOME_LOSS_FROM_AFFILIATES","FY 2025","FY 2025","Currency=INR","Period=FY","BEST_FPERIOD_OVERRIDE=FY","FILING_STATUS=MR","EQY_CONSOLIDATED=Y","SCALING_FORMAT=MLN","FA_ADJUSTED=GAAP","Sort=A","Dates=H","DateFormat=P","Fill=—","Direction=H","UseDPDF=Y")</f>
        <v>#NAME?</v>
      </c>
      <c r="Y23" s="16">
        <v>1.5</v>
      </c>
      <c r="Z23" s="13"/>
      <c r="AA23" s="13"/>
    </row>
    <row r="24" spans="1:27" x14ac:dyDescent="0.2">
      <c r="A24" s="10" t="s">
        <v>152</v>
      </c>
      <c r="B24" s="10" t="s">
        <v>153</v>
      </c>
      <c r="C24" s="13" t="e" cm="1">
        <f t="array" aca="1" ref="C24" ca="1">_xll.BDH("DATA IN Equity","OTHER_NONOP_INCOME_LOSS","FY 2004","FY 2004","Currency=INR","Period=FY","BEST_FPERIOD_OVERRIDE=FY","FILING_STATUS=MR","EQY_CONSOLIDATED=Y","SCALING_FORMAT=MLN","FA_ADJUSTED=GAAP","Sort=A","Dates=H","DateFormat=P","Fill=—","Direction=H","UseDPDF=Y")</f>
        <v>#NAME?</v>
      </c>
      <c r="D24" s="13" t="e" cm="1">
        <f t="array" aca="1" ref="D24" ca="1">_xll.BDH("DATA IN Equity","OTHER_NONOP_INCOME_LOSS","FY 2005","FY 2005","Currency=INR","Period=FY","BEST_FPERIOD_OVERRIDE=FY","FILING_STATUS=MR","EQY_CONSOLIDATED=Y","SCALING_FORMAT=MLN","FA_ADJUSTED=GAAP","Sort=A","Dates=H","DateFormat=P","Fill=—","Direction=H","UseDPDF=Y")</f>
        <v>#NAME?</v>
      </c>
      <c r="E24" s="13" t="e" cm="1">
        <f t="array" aca="1" ref="E24" ca="1">_xll.BDH("DATA IN Equity","OTHER_NONOP_INCOME_LOSS","FY 2006","FY 2006","Currency=INR","Period=FY","BEST_FPERIOD_OVERRIDE=FY","FILING_STATUS=MR","EQY_CONSOLIDATED=Y","SCALING_FORMAT=MLN","FA_ADJUSTED=GAAP","Sort=A","Dates=H","DateFormat=P","Fill=—","Direction=H","UseDPDF=Y")</f>
        <v>#NAME?</v>
      </c>
      <c r="F24" s="13" t="e" cm="1">
        <f t="array" aca="1" ref="F24" ca="1">_xll.BDH("DATA IN Equity","OTHER_NONOP_INCOME_LOSS","FY 2007","FY 2007","Currency=INR","Period=FY","BEST_FPERIOD_OVERRIDE=FY","FILING_STATUS=MR","EQY_CONSOLIDATED=Y","SCALING_FORMAT=MLN","FA_ADJUSTED=GAAP","Sort=A","Dates=H","DateFormat=P","Fill=—","Direction=H","UseDPDF=Y")</f>
        <v>#NAME?</v>
      </c>
      <c r="G24" s="13" t="e" cm="1">
        <f t="array" aca="1" ref="G24" ca="1">_xll.BDH("DATA IN Equity","OTHER_NONOP_INCOME_LOSS","FY 2008","FY 2008","Currency=INR","Period=FY","BEST_FPERIOD_OVERRIDE=FY","FILING_STATUS=MR","EQY_CONSOLIDATED=Y","SCALING_FORMAT=MLN","FA_ADJUSTED=GAAP","Sort=A","Dates=H","DateFormat=P","Fill=—","Direction=H","UseDPDF=Y")</f>
        <v>#NAME?</v>
      </c>
      <c r="H24" s="13" t="e" cm="1">
        <f t="array" aca="1" ref="H24" ca="1">_xll.BDH("DATA IN Equity","OTHER_NONOP_INCOME_LOSS","FY 2009","FY 2009","Currency=INR","Period=FY","BEST_FPERIOD_OVERRIDE=FY","FILING_STATUS=MR","EQY_CONSOLIDATED=Y","SCALING_FORMAT=MLN","FA_ADJUSTED=GAAP","Sort=A","Dates=H","DateFormat=P","Fill=—","Direction=H","UseDPDF=Y")</f>
        <v>#NAME?</v>
      </c>
      <c r="I24" s="13" t="e" cm="1">
        <f t="array" aca="1" ref="I24" ca="1">_xll.BDH("DATA IN Equity","OTHER_NONOP_INCOME_LOSS","FY 2010","FY 2010","Currency=INR","Period=FY","BEST_FPERIOD_OVERRIDE=FY","FILING_STATUS=MR","EQY_CONSOLIDATED=Y","SCALING_FORMAT=MLN","FA_ADJUSTED=GAAP","Sort=A","Dates=H","DateFormat=P","Fill=—","Direction=H","UseDPDF=Y")</f>
        <v>#NAME?</v>
      </c>
      <c r="J24" s="13" t="e" cm="1">
        <f t="array" aca="1" ref="J24" ca="1">_xll.BDH("DATA IN Equity","OTHER_NONOP_INCOME_LOSS","FY 2011","FY 2011","Currency=INR","Period=FY","BEST_FPERIOD_OVERRIDE=FY","FILING_STATUS=MR","EQY_CONSOLIDATED=Y","SCALING_FORMAT=MLN","FA_ADJUSTED=GAAP","Sort=A","Dates=H","DateFormat=P","Fill=—","Direction=H","UseDPDF=Y")</f>
        <v>#NAME?</v>
      </c>
      <c r="K24" s="13" t="e" cm="1">
        <f t="array" aca="1" ref="K24" ca="1">_xll.BDH("DATA IN Equity","OTHER_NONOP_INCOME_LOSS","FY 2012","FY 2012","Currency=INR","Period=FY","BEST_FPERIOD_OVERRIDE=FY","FILING_STATUS=MR","EQY_CONSOLIDATED=Y","SCALING_FORMAT=MLN","FA_ADJUSTED=GAAP","Sort=A","Dates=H","DateFormat=P","Fill=—","Direction=H","UseDPDF=Y")</f>
        <v>#NAME?</v>
      </c>
      <c r="L24" s="13" t="e" cm="1">
        <f t="array" aca="1" ref="L24" ca="1">_xll.BDH("DATA IN Equity","OTHER_NONOP_INCOME_LOSS","FY 2013","FY 2013","Currency=INR","Period=FY","BEST_FPERIOD_OVERRIDE=FY","FILING_STATUS=MR","EQY_CONSOLIDATED=Y","SCALING_FORMAT=MLN","FA_ADJUSTED=GAAP","Sort=A","Dates=H","DateFormat=P","Fill=—","Direction=H","UseDPDF=Y")</f>
        <v>#NAME?</v>
      </c>
      <c r="M24" s="13" t="e" cm="1">
        <f t="array" aca="1" ref="M24" ca="1">_xll.BDH("DATA IN Equity","OTHER_NONOP_INCOME_LOSS","FY 2014","FY 2014","Currency=INR","Period=FY","BEST_FPERIOD_OVERRIDE=FY","FILING_STATUS=MR","EQY_CONSOLIDATED=Y","SCALING_FORMAT=MLN","FA_ADJUSTED=GAAP","Sort=A","Dates=H","DateFormat=P","Fill=—","Direction=H","UseDPDF=Y")</f>
        <v>#NAME?</v>
      </c>
      <c r="N24" s="13" t="e" cm="1">
        <f t="array" aca="1" ref="N24" ca="1">_xll.BDH("DATA IN Equity","OTHER_NONOP_INCOME_LOSS","FY 2015","FY 2015","Currency=INR","Period=FY","BEST_FPERIOD_OVERRIDE=FY","FILING_STATUS=MR","EQY_CONSOLIDATED=Y","SCALING_FORMAT=MLN","FA_ADJUSTED=GAAP","Sort=A","Dates=H","DateFormat=P","Fill=—","Direction=H","UseDPDF=Y")</f>
        <v>#NAME?</v>
      </c>
      <c r="O24" s="13" t="e" cm="1">
        <f t="array" aca="1" ref="O24" ca="1">_xll.BDH("DATA IN Equity","OTHER_NONOP_INCOME_LOSS","FY 2016","FY 2016","Currency=INR","Period=FY","BEST_FPERIOD_OVERRIDE=FY","FILING_STATUS=MR","EQY_CONSOLIDATED=Y","SCALING_FORMAT=MLN","FA_ADJUSTED=GAAP","Sort=A","Dates=H","DateFormat=P","Fill=—","Direction=H","UseDPDF=Y")</f>
        <v>#NAME?</v>
      </c>
      <c r="P24" s="13" t="e" cm="1">
        <f t="array" aca="1" ref="P24" ca="1">_xll.BDH("DATA IN Equity","OTHER_NONOP_INCOME_LOSS","FY 2017","FY 2017","Currency=INR","Period=FY","BEST_FPERIOD_OVERRIDE=FY","FILING_STATUS=MR","EQY_CONSOLIDATED=Y","SCALING_FORMAT=MLN","FA_ADJUSTED=GAAP","Sort=A","Dates=H","DateFormat=P","Fill=—","Direction=H","UseDPDF=Y")</f>
        <v>#NAME?</v>
      </c>
      <c r="Q24" s="13" t="e" cm="1">
        <f t="array" aca="1" ref="Q24" ca="1">_xll.BDH("DATA IN Equity","OTHER_NONOP_INCOME_LOSS","FY 2018","FY 2018","Currency=INR","Period=FY","BEST_FPERIOD_OVERRIDE=FY","FILING_STATUS=MR","EQY_CONSOLIDATED=Y","SCALING_FORMAT=MLN","FA_ADJUSTED=GAAP","Sort=A","Dates=H","DateFormat=P","Fill=—","Direction=H","UseDPDF=Y")</f>
        <v>#NAME?</v>
      </c>
      <c r="R24" s="13" t="e" cm="1">
        <f t="array" aca="1" ref="R24" ca="1">_xll.BDH("DATA IN Equity","OTHER_NONOP_INCOME_LOSS","FY 2019","FY 2019","Currency=INR","Period=FY","BEST_FPERIOD_OVERRIDE=FY","FILING_STATUS=MR","EQY_CONSOLIDATED=Y","SCALING_FORMAT=MLN","FA_ADJUSTED=GAAP","Sort=A","Dates=H","DateFormat=P","Fill=—","Direction=H","UseDPDF=Y")</f>
        <v>#NAME?</v>
      </c>
      <c r="S24" s="13" t="e" cm="1">
        <f t="array" aca="1" ref="S24" ca="1">_xll.BDH("DATA IN Equity","OTHER_NONOP_INCOME_LOSS","FY 2020","FY 2020","Currency=INR","Period=FY","BEST_FPERIOD_OVERRIDE=FY","FILING_STATUS=MR","EQY_CONSOLIDATED=Y","SCALING_FORMAT=MLN","FA_ADJUSTED=GAAP","Sort=A","Dates=H","DateFormat=P","Fill=—","Direction=H","UseDPDF=Y")</f>
        <v>#NAME?</v>
      </c>
      <c r="T24" s="13" t="e" cm="1">
        <f t="array" aca="1" ref="T24" ca="1">_xll.BDH("DATA IN Equity","OTHER_NONOP_INCOME_LOSS","FY 2021","FY 2021","Currency=INR","Period=FY","BEST_FPERIOD_OVERRIDE=FY","FILING_STATUS=MR","EQY_CONSOLIDATED=Y","SCALING_FORMAT=MLN","FA_ADJUSTED=GAAP","Sort=A","Dates=H","DateFormat=P","Fill=—","Direction=H","UseDPDF=Y")</f>
        <v>#NAME?</v>
      </c>
      <c r="U24" s="13" t="e" cm="1">
        <f t="array" aca="1" ref="U24" ca="1">_xll.BDH("DATA IN Equity","OTHER_NONOP_INCOME_LOSS","FY 2022","FY 2022","Currency=INR","Period=FY","BEST_FPERIOD_OVERRIDE=FY","FILING_STATUS=MR","EQY_CONSOLIDATED=Y","SCALING_FORMAT=MLN","FA_ADJUSTED=GAAP","Sort=A","Dates=H","DateFormat=P","Fill=—","Direction=H","UseDPDF=Y")</f>
        <v>#NAME?</v>
      </c>
      <c r="V24" s="13" t="e" cm="1">
        <f t="array" aca="1" ref="V24" ca="1">_xll.BDH("DATA IN Equity","OTHER_NONOP_INCOME_LOSS","FY 2023","FY 2023","Currency=INR","Period=FY","BEST_FPERIOD_OVERRIDE=FY","FILING_STATUS=MR","EQY_CONSOLIDATED=Y","SCALING_FORMAT=MLN","FA_ADJUSTED=GAAP","Sort=A","Dates=H","DateFormat=P","Fill=—","Direction=H","UseDPDF=Y")</f>
        <v>#NAME?</v>
      </c>
      <c r="W24" s="13" t="e" cm="1">
        <f t="array" aca="1" ref="W24" ca="1">_xll.BDH("DATA IN Equity","OTHER_NONOP_INCOME_LOSS","FY 2024","FY 2024","Currency=INR","Period=FY","BEST_FPERIOD_OVERRIDE=FY","FILING_STATUS=MR","EQY_CONSOLIDATED=Y","SCALING_FORMAT=MLN","FA_ADJUSTED=GAAP","Sort=A","Dates=H","DateFormat=P","Fill=—","Direction=H","UseDPDF=Y")</f>
        <v>#NAME?</v>
      </c>
      <c r="X24" s="13" t="e" cm="1">
        <f t="array" aca="1" ref="X24" ca="1">_xll.BDH("DATA IN Equity","OTHER_NONOP_INCOME_LOSS","FY 2025","FY 2025","Currency=INR","Period=FY","BEST_FPERIOD_OVERRIDE=FY","FILING_STATUS=MR","EQY_CONSOLIDATED=Y","SCALING_FORMAT=MLN","FA_ADJUSTED=GAAP","Sort=A","Dates=H","DateFormat=P","Fill=—","Direction=H","UseDPDF=Y")</f>
        <v>#NAME?</v>
      </c>
      <c r="Y24" s="16">
        <v>-280.2</v>
      </c>
      <c r="Z24" s="13"/>
      <c r="AA24" s="13"/>
    </row>
    <row r="25" spans="1:27" x14ac:dyDescent="0.2">
      <c r="A25" s="6" t="s">
        <v>154</v>
      </c>
      <c r="B25" s="6" t="s">
        <v>155</v>
      </c>
      <c r="C25" s="19" t="e" cm="1">
        <f t="array" aca="1" ref="C25" ca="1">_xll.BDH("DATA IN Equity","PRETAX_INC","FY 2004","FY 2004","Currency=INR","Period=FY","BEST_FPERIOD_OVERRIDE=FY","FILING_STATUS=MR","EQY_CONSOLIDATED=Y","SCALING_FORMAT=MLN","FA_ADJUSTED=GAAP","Sort=A","Dates=H","DateFormat=P","Fill=—","Direction=H","UseDPDF=Y")</f>
        <v>#NAME?</v>
      </c>
      <c r="D25" s="19" t="e" cm="1">
        <f t="array" aca="1" ref="D25" ca="1">_xll.BDH("DATA IN Equity","PRETAX_INC","FY 2005","FY 2005","Currency=INR","Period=FY","BEST_FPERIOD_OVERRIDE=FY","FILING_STATUS=MR","EQY_CONSOLIDATED=Y","SCALING_FORMAT=MLN","FA_ADJUSTED=GAAP","Sort=A","Dates=H","DateFormat=P","Fill=—","Direction=H","UseDPDF=Y")</f>
        <v>#NAME?</v>
      </c>
      <c r="E25" s="19" t="e" cm="1">
        <f t="array" aca="1" ref="E25" ca="1">_xll.BDH("DATA IN Equity","PRETAX_INC","FY 2006","FY 2006","Currency=INR","Period=FY","BEST_FPERIOD_OVERRIDE=FY","FILING_STATUS=MR","EQY_CONSOLIDATED=Y","SCALING_FORMAT=MLN","FA_ADJUSTED=GAAP","Sort=A","Dates=H","DateFormat=P","Fill=—","Direction=H","UseDPDF=Y")</f>
        <v>#NAME?</v>
      </c>
      <c r="F25" s="19" t="e" cm="1">
        <f t="array" aca="1" ref="F25" ca="1">_xll.BDH("DATA IN Equity","PRETAX_INC","FY 2007","FY 2007","Currency=INR","Period=FY","BEST_FPERIOD_OVERRIDE=FY","FILING_STATUS=MR","EQY_CONSOLIDATED=Y","SCALING_FORMAT=MLN","FA_ADJUSTED=GAAP","Sort=A","Dates=H","DateFormat=P","Fill=—","Direction=H","UseDPDF=Y")</f>
        <v>#NAME?</v>
      </c>
      <c r="G25" s="19" t="e" cm="1">
        <f t="array" aca="1" ref="G25" ca="1">_xll.BDH("DATA IN Equity","PRETAX_INC","FY 2008","FY 2008","Currency=INR","Period=FY","BEST_FPERIOD_OVERRIDE=FY","FILING_STATUS=MR","EQY_CONSOLIDATED=Y","SCALING_FORMAT=MLN","FA_ADJUSTED=GAAP","Sort=A","Dates=H","DateFormat=P","Fill=—","Direction=H","UseDPDF=Y")</f>
        <v>#NAME?</v>
      </c>
      <c r="H25" s="19" t="e" cm="1">
        <f t="array" aca="1" ref="H25" ca="1">_xll.BDH("DATA IN Equity","PRETAX_INC","FY 2009","FY 2009","Currency=INR","Period=FY","BEST_FPERIOD_OVERRIDE=FY","FILING_STATUS=MR","EQY_CONSOLIDATED=Y","SCALING_FORMAT=MLN","FA_ADJUSTED=GAAP","Sort=A","Dates=H","DateFormat=P","Fill=—","Direction=H","UseDPDF=Y")</f>
        <v>#NAME?</v>
      </c>
      <c r="I25" s="19" t="e" cm="1">
        <f t="array" aca="1" ref="I25" ca="1">_xll.BDH("DATA IN Equity","PRETAX_INC","FY 2010","FY 2010","Currency=INR","Period=FY","BEST_FPERIOD_OVERRIDE=FY","FILING_STATUS=MR","EQY_CONSOLIDATED=Y","SCALING_FORMAT=MLN","FA_ADJUSTED=GAAP","Sort=A","Dates=H","DateFormat=P","Fill=—","Direction=H","UseDPDF=Y")</f>
        <v>#NAME?</v>
      </c>
      <c r="J25" s="19" t="e" cm="1">
        <f t="array" aca="1" ref="J25" ca="1">_xll.BDH("DATA IN Equity","PRETAX_INC","FY 2011","FY 2011","Currency=INR","Period=FY","BEST_FPERIOD_OVERRIDE=FY","FILING_STATUS=MR","EQY_CONSOLIDATED=Y","SCALING_FORMAT=MLN","FA_ADJUSTED=GAAP","Sort=A","Dates=H","DateFormat=P","Fill=—","Direction=H","UseDPDF=Y")</f>
        <v>#NAME?</v>
      </c>
      <c r="K25" s="19" t="e" cm="1">
        <f t="array" aca="1" ref="K25" ca="1">_xll.BDH("DATA IN Equity","PRETAX_INC","FY 2012","FY 2012","Currency=INR","Period=FY","BEST_FPERIOD_OVERRIDE=FY","FILING_STATUS=MR","EQY_CONSOLIDATED=Y","SCALING_FORMAT=MLN","FA_ADJUSTED=GAAP","Sort=A","Dates=H","DateFormat=P","Fill=—","Direction=H","UseDPDF=Y")</f>
        <v>#NAME?</v>
      </c>
      <c r="L25" s="19" t="e" cm="1">
        <f t="array" aca="1" ref="L25" ca="1">_xll.BDH("DATA IN Equity","PRETAX_INC","FY 2013","FY 2013","Currency=INR","Period=FY","BEST_FPERIOD_OVERRIDE=FY","FILING_STATUS=MR","EQY_CONSOLIDATED=Y","SCALING_FORMAT=MLN","FA_ADJUSTED=GAAP","Sort=A","Dates=H","DateFormat=P","Fill=—","Direction=H","UseDPDF=Y")</f>
        <v>#NAME?</v>
      </c>
      <c r="M25" s="19" t="e" cm="1">
        <f t="array" aca="1" ref="M25" ca="1">_xll.BDH("DATA IN Equity","PRETAX_INC","FY 2014","FY 2014","Currency=INR","Period=FY","BEST_FPERIOD_OVERRIDE=FY","FILING_STATUS=MR","EQY_CONSOLIDATED=Y","SCALING_FORMAT=MLN","FA_ADJUSTED=GAAP","Sort=A","Dates=H","DateFormat=P","Fill=—","Direction=H","UseDPDF=Y")</f>
        <v>#NAME?</v>
      </c>
      <c r="N25" s="19" t="e" cm="1">
        <f t="array" aca="1" ref="N25" ca="1">_xll.BDH("DATA IN Equity","PRETAX_INC","FY 2015","FY 2015","Currency=INR","Period=FY","BEST_FPERIOD_OVERRIDE=FY","FILING_STATUS=MR","EQY_CONSOLIDATED=Y","SCALING_FORMAT=MLN","FA_ADJUSTED=GAAP","Sort=A","Dates=H","DateFormat=P","Fill=—","Direction=H","UseDPDF=Y")</f>
        <v>#NAME?</v>
      </c>
      <c r="O25" s="19" t="e" cm="1">
        <f t="array" aca="1" ref="O25" ca="1">_xll.BDH("DATA IN Equity","PRETAX_INC","FY 2016","FY 2016","Currency=INR","Period=FY","BEST_FPERIOD_OVERRIDE=FY","FILING_STATUS=MR","EQY_CONSOLIDATED=Y","SCALING_FORMAT=MLN","FA_ADJUSTED=GAAP","Sort=A","Dates=H","DateFormat=P","Fill=—","Direction=H","UseDPDF=Y")</f>
        <v>#NAME?</v>
      </c>
      <c r="P25" s="19" t="e" cm="1">
        <f t="array" aca="1" ref="P25" ca="1">_xll.BDH("DATA IN Equity","PRETAX_INC","FY 2017","FY 2017","Currency=INR","Period=FY","BEST_FPERIOD_OVERRIDE=FY","FILING_STATUS=MR","EQY_CONSOLIDATED=Y","SCALING_FORMAT=MLN","FA_ADJUSTED=GAAP","Sort=A","Dates=H","DateFormat=P","Fill=—","Direction=H","UseDPDF=Y")</f>
        <v>#NAME?</v>
      </c>
      <c r="Q25" s="19" t="e" cm="1">
        <f t="array" aca="1" ref="Q25" ca="1">_xll.BDH("DATA IN Equity","PRETAX_INC","FY 2018","FY 2018","Currency=INR","Period=FY","BEST_FPERIOD_OVERRIDE=FY","FILING_STATUS=MR","EQY_CONSOLIDATED=Y","SCALING_FORMAT=MLN","FA_ADJUSTED=GAAP","Sort=A","Dates=H","DateFormat=P","Fill=—","Direction=H","UseDPDF=Y")</f>
        <v>#NAME?</v>
      </c>
      <c r="R25" s="19" t="e" cm="1">
        <f t="array" aca="1" ref="R25" ca="1">_xll.BDH("DATA IN Equity","PRETAX_INC","FY 2019","FY 2019","Currency=INR","Period=FY","BEST_FPERIOD_OVERRIDE=FY","FILING_STATUS=MR","EQY_CONSOLIDATED=Y","SCALING_FORMAT=MLN","FA_ADJUSTED=GAAP","Sort=A","Dates=H","DateFormat=P","Fill=—","Direction=H","UseDPDF=Y")</f>
        <v>#NAME?</v>
      </c>
      <c r="S25" s="19" t="e" cm="1">
        <f t="array" aca="1" ref="S25" ca="1">_xll.BDH("DATA IN Equity","PRETAX_INC","FY 2020","FY 2020","Currency=INR","Period=FY","BEST_FPERIOD_OVERRIDE=FY","FILING_STATUS=MR","EQY_CONSOLIDATED=Y","SCALING_FORMAT=MLN","FA_ADJUSTED=GAAP","Sort=A","Dates=H","DateFormat=P","Fill=—","Direction=H","UseDPDF=Y")</f>
        <v>#NAME?</v>
      </c>
      <c r="T25" s="19" t="e" cm="1">
        <f t="array" aca="1" ref="T25" ca="1">_xll.BDH("DATA IN Equity","PRETAX_INC","FY 2021","FY 2021","Currency=INR","Period=FY","BEST_FPERIOD_OVERRIDE=FY","FILING_STATUS=MR","EQY_CONSOLIDATED=Y","SCALING_FORMAT=MLN","FA_ADJUSTED=GAAP","Sort=A","Dates=H","DateFormat=P","Fill=—","Direction=H","UseDPDF=Y")</f>
        <v>#NAME?</v>
      </c>
      <c r="U25" s="19" t="e" cm="1">
        <f t="array" aca="1" ref="U25" ca="1">_xll.BDH("DATA IN Equity","PRETAX_INC","FY 2022","FY 2022","Currency=INR","Period=FY","BEST_FPERIOD_OVERRIDE=FY","FILING_STATUS=MR","EQY_CONSOLIDATED=Y","SCALING_FORMAT=MLN","FA_ADJUSTED=GAAP","Sort=A","Dates=H","DateFormat=P","Fill=—","Direction=H","UseDPDF=Y")</f>
        <v>#NAME?</v>
      </c>
      <c r="V25" s="19" t="e" cm="1">
        <f t="array" aca="1" ref="V25" ca="1">_xll.BDH("DATA IN Equity","PRETAX_INC","FY 2023","FY 2023","Currency=INR","Period=FY","BEST_FPERIOD_OVERRIDE=FY","FILING_STATUS=MR","EQY_CONSOLIDATED=Y","SCALING_FORMAT=MLN","FA_ADJUSTED=GAAP","Sort=A","Dates=H","DateFormat=P","Fill=—","Direction=H","UseDPDF=Y")</f>
        <v>#NAME?</v>
      </c>
      <c r="W25" s="19" t="e" cm="1">
        <f t="array" aca="1" ref="W25" ca="1">_xll.BDH("DATA IN Equity","PRETAX_INC","FY 2024","FY 2024","Currency=INR","Period=FY","BEST_FPERIOD_OVERRIDE=FY","FILING_STATUS=MR","EQY_CONSOLIDATED=Y","SCALING_FORMAT=MLN","FA_ADJUSTED=GAAP","Sort=A","Dates=H","DateFormat=P","Fill=—","Direction=H","UseDPDF=Y")</f>
        <v>#NAME?</v>
      </c>
      <c r="X25" s="19" t="e" cm="1">
        <f t="array" aca="1" ref="X25" ca="1">_xll.BDH("DATA IN Equity","PRETAX_INC","FY 2025","FY 2025","Currency=INR","Period=FY","BEST_FPERIOD_OVERRIDE=FY","FILING_STATUS=MR","EQY_CONSOLIDATED=Y","SCALING_FORMAT=MLN","FA_ADJUSTED=GAAP","Sort=A","Dates=H","DateFormat=P","Fill=—","Direction=H","UseDPDF=Y")</f>
        <v>#NAME?</v>
      </c>
      <c r="Y25" s="22">
        <v>2418.5</v>
      </c>
      <c r="Z25" s="19">
        <v>3162</v>
      </c>
      <c r="AA25" s="19">
        <v>3608</v>
      </c>
    </row>
    <row r="26" spans="1:27" x14ac:dyDescent="0.2">
      <c r="A26" s="10" t="s">
        <v>156</v>
      </c>
      <c r="B26" s="10" t="s">
        <v>157</v>
      </c>
      <c r="C26" s="13" t="e" cm="1">
        <f t="array" aca="1" ref="C26" ca="1">_xll.BDH("DATA IN Equity","IS_INC_TAX_EXP","FY 2004","FY 2004","Currency=INR","Period=FY","BEST_FPERIOD_OVERRIDE=FY","FILING_STATUS=MR","EQY_CONSOLIDATED=Y","SCALING_FORMAT=MLN","FA_ADJUSTED=GAAP","Sort=A","Dates=H","DateFormat=P","Fill=—","Direction=H","UseDPDF=Y")</f>
        <v>#NAME?</v>
      </c>
      <c r="D26" s="13" t="e" cm="1">
        <f t="array" aca="1" ref="D26" ca="1">_xll.BDH("DATA IN Equity","IS_INC_TAX_EXP","FY 2005","FY 2005","Currency=INR","Period=FY","BEST_FPERIOD_OVERRIDE=FY","FILING_STATUS=MR","EQY_CONSOLIDATED=Y","SCALING_FORMAT=MLN","FA_ADJUSTED=GAAP","Sort=A","Dates=H","DateFormat=P","Fill=—","Direction=H","UseDPDF=Y")</f>
        <v>#NAME?</v>
      </c>
      <c r="E26" s="13" t="e" cm="1">
        <f t="array" aca="1" ref="E26" ca="1">_xll.BDH("DATA IN Equity","IS_INC_TAX_EXP","FY 2006","FY 2006","Currency=INR","Period=FY","BEST_FPERIOD_OVERRIDE=FY","FILING_STATUS=MR","EQY_CONSOLIDATED=Y","SCALING_FORMAT=MLN","FA_ADJUSTED=GAAP","Sort=A","Dates=H","DateFormat=P","Fill=—","Direction=H","UseDPDF=Y")</f>
        <v>#NAME?</v>
      </c>
      <c r="F26" s="13" t="e" cm="1">
        <f t="array" aca="1" ref="F26" ca="1">_xll.BDH("DATA IN Equity","IS_INC_TAX_EXP","FY 2007","FY 2007","Currency=INR","Period=FY","BEST_FPERIOD_OVERRIDE=FY","FILING_STATUS=MR","EQY_CONSOLIDATED=Y","SCALING_FORMAT=MLN","FA_ADJUSTED=GAAP","Sort=A","Dates=H","DateFormat=P","Fill=—","Direction=H","UseDPDF=Y")</f>
        <v>#NAME?</v>
      </c>
      <c r="G26" s="13" t="e" cm="1">
        <f t="array" aca="1" ref="G26" ca="1">_xll.BDH("DATA IN Equity","IS_INC_TAX_EXP","FY 2008","FY 2008","Currency=INR","Period=FY","BEST_FPERIOD_OVERRIDE=FY","FILING_STATUS=MR","EQY_CONSOLIDATED=Y","SCALING_FORMAT=MLN","FA_ADJUSTED=GAAP","Sort=A","Dates=H","DateFormat=P","Fill=—","Direction=H","UseDPDF=Y")</f>
        <v>#NAME?</v>
      </c>
      <c r="H26" s="13" t="e" cm="1">
        <f t="array" aca="1" ref="H26" ca="1">_xll.BDH("DATA IN Equity","IS_INC_TAX_EXP","FY 2009","FY 2009","Currency=INR","Period=FY","BEST_FPERIOD_OVERRIDE=FY","FILING_STATUS=MR","EQY_CONSOLIDATED=Y","SCALING_FORMAT=MLN","FA_ADJUSTED=GAAP","Sort=A","Dates=H","DateFormat=P","Fill=—","Direction=H","UseDPDF=Y")</f>
        <v>#NAME?</v>
      </c>
      <c r="I26" s="13" t="e" cm="1">
        <f t="array" aca="1" ref="I26" ca="1">_xll.BDH("DATA IN Equity","IS_INC_TAX_EXP","FY 2010","FY 2010","Currency=INR","Period=FY","BEST_FPERIOD_OVERRIDE=FY","FILING_STATUS=MR","EQY_CONSOLIDATED=Y","SCALING_FORMAT=MLN","FA_ADJUSTED=GAAP","Sort=A","Dates=H","DateFormat=P","Fill=—","Direction=H","UseDPDF=Y")</f>
        <v>#NAME?</v>
      </c>
      <c r="J26" s="13" t="e" cm="1">
        <f t="array" aca="1" ref="J26" ca="1">_xll.BDH("DATA IN Equity","IS_INC_TAX_EXP","FY 2011","FY 2011","Currency=INR","Period=FY","BEST_FPERIOD_OVERRIDE=FY","FILING_STATUS=MR","EQY_CONSOLIDATED=Y","SCALING_FORMAT=MLN","FA_ADJUSTED=GAAP","Sort=A","Dates=H","DateFormat=P","Fill=—","Direction=H","UseDPDF=Y")</f>
        <v>#NAME?</v>
      </c>
      <c r="K26" s="13" t="e" cm="1">
        <f t="array" aca="1" ref="K26" ca="1">_xll.BDH("DATA IN Equity","IS_INC_TAX_EXP","FY 2012","FY 2012","Currency=INR","Period=FY","BEST_FPERIOD_OVERRIDE=FY","FILING_STATUS=MR","EQY_CONSOLIDATED=Y","SCALING_FORMAT=MLN","FA_ADJUSTED=GAAP","Sort=A","Dates=H","DateFormat=P","Fill=—","Direction=H","UseDPDF=Y")</f>
        <v>#NAME?</v>
      </c>
      <c r="L26" s="13" t="e" cm="1">
        <f t="array" aca="1" ref="L26" ca="1">_xll.BDH("DATA IN Equity","IS_INC_TAX_EXP","FY 2013","FY 2013","Currency=INR","Period=FY","BEST_FPERIOD_OVERRIDE=FY","FILING_STATUS=MR","EQY_CONSOLIDATED=Y","SCALING_FORMAT=MLN","FA_ADJUSTED=GAAP","Sort=A","Dates=H","DateFormat=P","Fill=—","Direction=H","UseDPDF=Y")</f>
        <v>#NAME?</v>
      </c>
      <c r="M26" s="13" t="e" cm="1">
        <f t="array" aca="1" ref="M26" ca="1">_xll.BDH("DATA IN Equity","IS_INC_TAX_EXP","FY 2014","FY 2014","Currency=INR","Period=FY","BEST_FPERIOD_OVERRIDE=FY","FILING_STATUS=MR","EQY_CONSOLIDATED=Y","SCALING_FORMAT=MLN","FA_ADJUSTED=GAAP","Sort=A","Dates=H","DateFormat=P","Fill=—","Direction=H","UseDPDF=Y")</f>
        <v>#NAME?</v>
      </c>
      <c r="N26" s="13" t="e" cm="1">
        <f t="array" aca="1" ref="N26" ca="1">_xll.BDH("DATA IN Equity","IS_INC_TAX_EXP","FY 2015","FY 2015","Currency=INR","Period=FY","BEST_FPERIOD_OVERRIDE=FY","FILING_STATUS=MR","EQY_CONSOLIDATED=Y","SCALING_FORMAT=MLN","FA_ADJUSTED=GAAP","Sort=A","Dates=H","DateFormat=P","Fill=—","Direction=H","UseDPDF=Y")</f>
        <v>#NAME?</v>
      </c>
      <c r="O26" s="13" t="e" cm="1">
        <f t="array" aca="1" ref="O26" ca="1">_xll.BDH("DATA IN Equity","IS_INC_TAX_EXP","FY 2016","FY 2016","Currency=INR","Period=FY","BEST_FPERIOD_OVERRIDE=FY","FILING_STATUS=MR","EQY_CONSOLIDATED=Y","SCALING_FORMAT=MLN","FA_ADJUSTED=GAAP","Sort=A","Dates=H","DateFormat=P","Fill=—","Direction=H","UseDPDF=Y")</f>
        <v>#NAME?</v>
      </c>
      <c r="P26" s="13" t="e" cm="1">
        <f t="array" aca="1" ref="P26" ca="1">_xll.BDH("DATA IN Equity","IS_INC_TAX_EXP","FY 2017","FY 2017","Currency=INR","Period=FY","BEST_FPERIOD_OVERRIDE=FY","FILING_STATUS=MR","EQY_CONSOLIDATED=Y","SCALING_FORMAT=MLN","FA_ADJUSTED=GAAP","Sort=A","Dates=H","DateFormat=P","Fill=—","Direction=H","UseDPDF=Y")</f>
        <v>#NAME?</v>
      </c>
      <c r="Q26" s="13" t="e" cm="1">
        <f t="array" aca="1" ref="Q26" ca="1">_xll.BDH("DATA IN Equity","IS_INC_TAX_EXP","FY 2018","FY 2018","Currency=INR","Period=FY","BEST_FPERIOD_OVERRIDE=FY","FILING_STATUS=MR","EQY_CONSOLIDATED=Y","SCALING_FORMAT=MLN","FA_ADJUSTED=GAAP","Sort=A","Dates=H","DateFormat=P","Fill=—","Direction=H","UseDPDF=Y")</f>
        <v>#NAME?</v>
      </c>
      <c r="R26" s="13" t="e" cm="1">
        <f t="array" aca="1" ref="R26" ca="1">_xll.BDH("DATA IN Equity","IS_INC_TAX_EXP","FY 2019","FY 2019","Currency=INR","Period=FY","BEST_FPERIOD_OVERRIDE=FY","FILING_STATUS=MR","EQY_CONSOLIDATED=Y","SCALING_FORMAT=MLN","FA_ADJUSTED=GAAP","Sort=A","Dates=H","DateFormat=P","Fill=—","Direction=H","UseDPDF=Y")</f>
        <v>#NAME?</v>
      </c>
      <c r="S26" s="13" t="e" cm="1">
        <f t="array" aca="1" ref="S26" ca="1">_xll.BDH("DATA IN Equity","IS_INC_TAX_EXP","FY 2020","FY 2020","Currency=INR","Period=FY","BEST_FPERIOD_OVERRIDE=FY","FILING_STATUS=MR","EQY_CONSOLIDATED=Y","SCALING_FORMAT=MLN","FA_ADJUSTED=GAAP","Sort=A","Dates=H","DateFormat=P","Fill=—","Direction=H","UseDPDF=Y")</f>
        <v>#NAME?</v>
      </c>
      <c r="T26" s="13" t="e" cm="1">
        <f t="array" aca="1" ref="T26" ca="1">_xll.BDH("DATA IN Equity","IS_INC_TAX_EXP","FY 2021","FY 2021","Currency=INR","Period=FY","BEST_FPERIOD_OVERRIDE=FY","FILING_STATUS=MR","EQY_CONSOLIDATED=Y","SCALING_FORMAT=MLN","FA_ADJUSTED=GAAP","Sort=A","Dates=H","DateFormat=P","Fill=—","Direction=H","UseDPDF=Y")</f>
        <v>#NAME?</v>
      </c>
      <c r="U26" s="13" t="e" cm="1">
        <f t="array" aca="1" ref="U26" ca="1">_xll.BDH("DATA IN Equity","IS_INC_TAX_EXP","FY 2022","FY 2022","Currency=INR","Period=FY","BEST_FPERIOD_OVERRIDE=FY","FILING_STATUS=MR","EQY_CONSOLIDATED=Y","SCALING_FORMAT=MLN","FA_ADJUSTED=GAAP","Sort=A","Dates=H","DateFormat=P","Fill=—","Direction=H","UseDPDF=Y")</f>
        <v>#NAME?</v>
      </c>
      <c r="V26" s="13" t="e" cm="1">
        <f t="array" aca="1" ref="V26" ca="1">_xll.BDH("DATA IN Equity","IS_INC_TAX_EXP","FY 2023","FY 2023","Currency=INR","Period=FY","BEST_FPERIOD_OVERRIDE=FY","FILING_STATUS=MR","EQY_CONSOLIDATED=Y","SCALING_FORMAT=MLN","FA_ADJUSTED=GAAP","Sort=A","Dates=H","DateFormat=P","Fill=—","Direction=H","UseDPDF=Y")</f>
        <v>#NAME?</v>
      </c>
      <c r="W26" s="13" t="e" cm="1">
        <f t="array" aca="1" ref="W26" ca="1">_xll.BDH("DATA IN Equity","IS_INC_TAX_EXP","FY 2024","FY 2024","Currency=INR","Period=FY","BEST_FPERIOD_OVERRIDE=FY","FILING_STATUS=MR","EQY_CONSOLIDATED=Y","SCALING_FORMAT=MLN","FA_ADJUSTED=GAAP","Sort=A","Dates=H","DateFormat=P","Fill=—","Direction=H","UseDPDF=Y")</f>
        <v>#NAME?</v>
      </c>
      <c r="X26" s="13" t="e" cm="1">
        <f t="array" aca="1" ref="X26" ca="1">_xll.BDH("DATA IN Equity","IS_INC_TAX_EXP","FY 2025","FY 2025","Currency=INR","Period=FY","BEST_FPERIOD_OVERRIDE=FY","FILING_STATUS=MR","EQY_CONSOLIDATED=Y","SCALING_FORMAT=MLN","FA_ADJUSTED=GAAP","Sort=A","Dates=H","DateFormat=P","Fill=—","Direction=H","UseDPDF=Y")</f>
        <v>#NAME?</v>
      </c>
      <c r="Y26" s="16">
        <v>468.9</v>
      </c>
      <c r="Z26" s="13"/>
      <c r="AA26" s="13"/>
    </row>
    <row r="27" spans="1:27" x14ac:dyDescent="0.2">
      <c r="A27" s="10" t="s">
        <v>158</v>
      </c>
      <c r="B27" s="10" t="s">
        <v>159</v>
      </c>
      <c r="C27" s="13" t="e" cm="1">
        <f t="array" aca="1" ref="C27" ca="1">_xll.BDH("DATA IN Equity","IS_CURRENT_INCOME_TAX_BENEFIT","FY 2004","FY 2004","Currency=INR","Period=FY","BEST_FPERIOD_OVERRIDE=FY","FILING_STATUS=MR","EQY_CONSOLIDATED=Y","SCALING_FORMAT=MLN","Sort=A","Dates=H","DateFormat=P","Fill=—","Direction=H","UseDPDF=Y")</f>
        <v>#NAME?</v>
      </c>
      <c r="D27" s="13" t="e" cm="1">
        <f t="array" aca="1" ref="D27" ca="1">_xll.BDH("DATA IN Equity","IS_CURRENT_INCOME_TAX_BENEFIT","FY 2005","FY 2005","Currency=INR","Period=FY","BEST_FPERIOD_OVERRIDE=FY","FILING_STATUS=MR","EQY_CONSOLIDATED=Y","SCALING_FORMAT=MLN","Sort=A","Dates=H","DateFormat=P","Fill=—","Direction=H","UseDPDF=Y")</f>
        <v>#NAME?</v>
      </c>
      <c r="E27" s="13" t="e" cm="1">
        <f t="array" aca="1" ref="E27" ca="1">_xll.BDH("DATA IN Equity","IS_CURRENT_INCOME_TAX_BENEFIT","FY 2006","FY 2006","Currency=INR","Period=FY","BEST_FPERIOD_OVERRIDE=FY","FILING_STATUS=MR","EQY_CONSOLIDATED=Y","SCALING_FORMAT=MLN","Sort=A","Dates=H","DateFormat=P","Fill=—","Direction=H","UseDPDF=Y")</f>
        <v>#NAME?</v>
      </c>
      <c r="F27" s="13" t="e" cm="1">
        <f t="array" aca="1" ref="F27" ca="1">_xll.BDH("DATA IN Equity","IS_CURRENT_INCOME_TAX_BENEFIT","FY 2007","FY 2007","Currency=INR","Period=FY","BEST_FPERIOD_OVERRIDE=FY","FILING_STATUS=MR","EQY_CONSOLIDATED=Y","SCALING_FORMAT=MLN","Sort=A","Dates=H","DateFormat=P","Fill=—","Direction=H","UseDPDF=Y")</f>
        <v>#NAME?</v>
      </c>
      <c r="G27" s="13" t="e" cm="1">
        <f t="array" aca="1" ref="G27" ca="1">_xll.BDH("DATA IN Equity","IS_CURRENT_INCOME_TAX_BENEFIT","FY 2008","FY 2008","Currency=INR","Period=FY","BEST_FPERIOD_OVERRIDE=FY","FILING_STATUS=MR","EQY_CONSOLIDATED=Y","SCALING_FORMAT=MLN","Sort=A","Dates=H","DateFormat=P","Fill=—","Direction=H","UseDPDF=Y")</f>
        <v>#NAME?</v>
      </c>
      <c r="H27" s="13" t="e" cm="1">
        <f t="array" aca="1" ref="H27" ca="1">_xll.BDH("DATA IN Equity","IS_CURRENT_INCOME_TAX_BENEFIT","FY 2009","FY 2009","Currency=INR","Period=FY","BEST_FPERIOD_OVERRIDE=FY","FILING_STATUS=MR","EQY_CONSOLIDATED=Y","SCALING_FORMAT=MLN","Sort=A","Dates=H","DateFormat=P","Fill=—","Direction=H","UseDPDF=Y")</f>
        <v>#NAME?</v>
      </c>
      <c r="I27" s="13" t="e" cm="1">
        <f t="array" aca="1" ref="I27" ca="1">_xll.BDH("DATA IN Equity","IS_CURRENT_INCOME_TAX_BENEFIT","FY 2010","FY 2010","Currency=INR","Period=FY","BEST_FPERIOD_OVERRIDE=FY","FILING_STATUS=MR","EQY_CONSOLIDATED=Y","SCALING_FORMAT=MLN","Sort=A","Dates=H","DateFormat=P","Fill=—","Direction=H","UseDPDF=Y")</f>
        <v>#NAME?</v>
      </c>
      <c r="J27" s="13" t="e" cm="1">
        <f t="array" aca="1" ref="J27" ca="1">_xll.BDH("DATA IN Equity","IS_CURRENT_INCOME_TAX_BENEFIT","FY 2011","FY 2011","Currency=INR","Period=FY","BEST_FPERIOD_OVERRIDE=FY","FILING_STATUS=MR","EQY_CONSOLIDATED=Y","SCALING_FORMAT=MLN","Sort=A","Dates=H","DateFormat=P","Fill=—","Direction=H","UseDPDF=Y")</f>
        <v>#NAME?</v>
      </c>
      <c r="K27" s="13" t="e" cm="1">
        <f t="array" aca="1" ref="K27" ca="1">_xll.BDH("DATA IN Equity","IS_CURRENT_INCOME_TAX_BENEFIT","FY 2012","FY 2012","Currency=INR","Period=FY","BEST_FPERIOD_OVERRIDE=FY","FILING_STATUS=MR","EQY_CONSOLIDATED=Y","SCALING_FORMAT=MLN","Sort=A","Dates=H","DateFormat=P","Fill=—","Direction=H","UseDPDF=Y")</f>
        <v>#NAME?</v>
      </c>
      <c r="L27" s="13" t="e" cm="1">
        <f t="array" aca="1" ref="L27" ca="1">_xll.BDH("DATA IN Equity","IS_CURRENT_INCOME_TAX_BENEFIT","FY 2013","FY 2013","Currency=INR","Period=FY","BEST_FPERIOD_OVERRIDE=FY","FILING_STATUS=MR","EQY_CONSOLIDATED=Y","SCALING_FORMAT=MLN","Sort=A","Dates=H","DateFormat=P","Fill=—","Direction=H","UseDPDF=Y")</f>
        <v>#NAME?</v>
      </c>
      <c r="M27" s="13" t="e" cm="1">
        <f t="array" aca="1" ref="M27" ca="1">_xll.BDH("DATA IN Equity","IS_CURRENT_INCOME_TAX_BENEFIT","FY 2014","FY 2014","Currency=INR","Period=FY","BEST_FPERIOD_OVERRIDE=FY","FILING_STATUS=MR","EQY_CONSOLIDATED=Y","SCALING_FORMAT=MLN","Sort=A","Dates=H","DateFormat=P","Fill=—","Direction=H","UseDPDF=Y")</f>
        <v>#NAME?</v>
      </c>
      <c r="N27" s="13" t="e" cm="1">
        <f t="array" aca="1" ref="N27" ca="1">_xll.BDH("DATA IN Equity","IS_CURRENT_INCOME_TAX_BENEFIT","FY 2015","FY 2015","Currency=INR","Period=FY","BEST_FPERIOD_OVERRIDE=FY","FILING_STATUS=MR","EQY_CONSOLIDATED=Y","SCALING_FORMAT=MLN","Sort=A","Dates=H","DateFormat=P","Fill=—","Direction=H","UseDPDF=Y")</f>
        <v>#NAME?</v>
      </c>
      <c r="O27" s="13" t="e" cm="1">
        <f t="array" aca="1" ref="O27" ca="1">_xll.BDH("DATA IN Equity","IS_CURRENT_INCOME_TAX_BENEFIT","FY 2016","FY 2016","Currency=INR","Period=FY","BEST_FPERIOD_OVERRIDE=FY","FILING_STATUS=MR","EQY_CONSOLIDATED=Y","SCALING_FORMAT=MLN","Sort=A","Dates=H","DateFormat=P","Fill=—","Direction=H","UseDPDF=Y")</f>
        <v>#NAME?</v>
      </c>
      <c r="P27" s="13" t="e" cm="1">
        <f t="array" aca="1" ref="P27" ca="1">_xll.BDH("DATA IN Equity","IS_CURRENT_INCOME_TAX_BENEFIT","FY 2017","FY 2017","Currency=INR","Period=FY","BEST_FPERIOD_OVERRIDE=FY","FILING_STATUS=MR","EQY_CONSOLIDATED=Y","SCALING_FORMAT=MLN","Sort=A","Dates=H","DateFormat=P","Fill=—","Direction=H","UseDPDF=Y")</f>
        <v>#NAME?</v>
      </c>
      <c r="Q27" s="13" t="e" cm="1">
        <f t="array" aca="1" ref="Q27" ca="1">_xll.BDH("DATA IN Equity","IS_CURRENT_INCOME_TAX_BENEFIT","FY 2018","FY 2018","Currency=INR","Period=FY","BEST_FPERIOD_OVERRIDE=FY","FILING_STATUS=MR","EQY_CONSOLIDATED=Y","SCALING_FORMAT=MLN","Sort=A","Dates=H","DateFormat=P","Fill=—","Direction=H","UseDPDF=Y")</f>
        <v>#NAME?</v>
      </c>
      <c r="R27" s="13" t="e" cm="1">
        <f t="array" aca="1" ref="R27" ca="1">_xll.BDH("DATA IN Equity","IS_CURRENT_INCOME_TAX_BENEFIT","FY 2019","FY 2019","Currency=INR","Period=FY","BEST_FPERIOD_OVERRIDE=FY","FILING_STATUS=MR","EQY_CONSOLIDATED=Y","SCALING_FORMAT=MLN","Sort=A","Dates=H","DateFormat=P","Fill=—","Direction=H","UseDPDF=Y")</f>
        <v>#NAME?</v>
      </c>
      <c r="S27" s="13" t="e" cm="1">
        <f t="array" aca="1" ref="S27" ca="1">_xll.BDH("DATA IN Equity","IS_CURRENT_INCOME_TAX_BENEFIT","FY 2020","FY 2020","Currency=INR","Period=FY","BEST_FPERIOD_OVERRIDE=FY","FILING_STATUS=MR","EQY_CONSOLIDATED=Y","SCALING_FORMAT=MLN","Sort=A","Dates=H","DateFormat=P","Fill=—","Direction=H","UseDPDF=Y")</f>
        <v>#NAME?</v>
      </c>
      <c r="T27" s="13" t="e" cm="1">
        <f t="array" aca="1" ref="T27" ca="1">_xll.BDH("DATA IN Equity","IS_CURRENT_INCOME_TAX_BENEFIT","FY 2021","FY 2021","Currency=INR","Period=FY","BEST_FPERIOD_OVERRIDE=FY","FILING_STATUS=MR","EQY_CONSOLIDATED=Y","SCALING_FORMAT=MLN","Sort=A","Dates=H","DateFormat=P","Fill=—","Direction=H","UseDPDF=Y")</f>
        <v>#NAME?</v>
      </c>
      <c r="U27" s="13" t="e" cm="1">
        <f t="array" aca="1" ref="U27" ca="1">_xll.BDH("DATA IN Equity","IS_CURRENT_INCOME_TAX_BENEFIT","FY 2022","FY 2022","Currency=INR","Period=FY","BEST_FPERIOD_OVERRIDE=FY","FILING_STATUS=MR","EQY_CONSOLIDATED=Y","SCALING_FORMAT=MLN","Sort=A","Dates=H","DateFormat=P","Fill=—","Direction=H","UseDPDF=Y")</f>
        <v>#NAME?</v>
      </c>
      <c r="V27" s="13" t="e" cm="1">
        <f t="array" aca="1" ref="V27" ca="1">_xll.BDH("DATA IN Equity","IS_CURRENT_INCOME_TAX_BENEFIT","FY 2023","FY 2023","Currency=INR","Period=FY","BEST_FPERIOD_OVERRIDE=FY","FILING_STATUS=MR","EQY_CONSOLIDATED=Y","SCALING_FORMAT=MLN","Sort=A","Dates=H","DateFormat=P","Fill=—","Direction=H","UseDPDF=Y")</f>
        <v>#NAME?</v>
      </c>
      <c r="W27" s="13" t="e" cm="1">
        <f t="array" aca="1" ref="W27" ca="1">_xll.BDH("DATA IN Equity","IS_CURRENT_INCOME_TAX_BENEFIT","FY 2024","FY 2024","Currency=INR","Period=FY","BEST_FPERIOD_OVERRIDE=FY","FILING_STATUS=MR","EQY_CONSOLIDATED=Y","SCALING_FORMAT=MLN","Sort=A","Dates=H","DateFormat=P","Fill=—","Direction=H","UseDPDF=Y")</f>
        <v>#NAME?</v>
      </c>
      <c r="X27" s="13" t="e" cm="1">
        <f t="array" aca="1" ref="X27" ca="1">_xll.BDH("DATA IN Equity","IS_CURRENT_INCOME_TAX_BENEFIT","FY 2025","FY 2025","Currency=INR","Period=FY","BEST_FPERIOD_OVERRIDE=FY","FILING_STATUS=MR","EQY_CONSOLIDATED=Y","SCALING_FORMAT=MLN","Sort=A","Dates=H","DateFormat=P","Fill=—","Direction=H","UseDPDF=Y")</f>
        <v>#NAME?</v>
      </c>
      <c r="Y27" s="16">
        <v>638.9</v>
      </c>
      <c r="Z27" s="13"/>
      <c r="AA27" s="13"/>
    </row>
    <row r="28" spans="1:27" x14ac:dyDescent="0.2">
      <c r="A28" s="10" t="s">
        <v>160</v>
      </c>
      <c r="B28" s="10" t="s">
        <v>161</v>
      </c>
      <c r="C28" s="13" t="e" cm="1">
        <f t="array" aca="1" ref="C28" ca="1">_xll.BDH("DATA IN Equity","IS_DEFERRED_INCOME_TAX_BENEFIT","FY 2004","FY 2004","Currency=INR","Period=FY","BEST_FPERIOD_OVERRIDE=FY","FILING_STATUS=MR","EQY_CONSOLIDATED=Y","SCALING_FORMAT=MLN","Sort=A","Dates=H","DateFormat=P","Fill=—","Direction=H","UseDPDF=Y")</f>
        <v>#NAME?</v>
      </c>
      <c r="D28" s="13" t="e" cm="1">
        <f t="array" aca="1" ref="D28" ca="1">_xll.BDH("DATA IN Equity","IS_DEFERRED_INCOME_TAX_BENEFIT","FY 2005","FY 2005","Currency=INR","Period=FY","BEST_FPERIOD_OVERRIDE=FY","FILING_STATUS=MR","EQY_CONSOLIDATED=Y","SCALING_FORMAT=MLN","Sort=A","Dates=H","DateFormat=P","Fill=—","Direction=H","UseDPDF=Y")</f>
        <v>#NAME?</v>
      </c>
      <c r="E28" s="13" t="e" cm="1">
        <f t="array" aca="1" ref="E28" ca="1">_xll.BDH("DATA IN Equity","IS_DEFERRED_INCOME_TAX_BENEFIT","FY 2006","FY 2006","Currency=INR","Period=FY","BEST_FPERIOD_OVERRIDE=FY","FILING_STATUS=MR","EQY_CONSOLIDATED=Y","SCALING_FORMAT=MLN","Sort=A","Dates=H","DateFormat=P","Fill=—","Direction=H","UseDPDF=Y")</f>
        <v>#NAME?</v>
      </c>
      <c r="F28" s="13" t="e" cm="1">
        <f t="array" aca="1" ref="F28" ca="1">_xll.BDH("DATA IN Equity","IS_DEFERRED_INCOME_TAX_BENEFIT","FY 2007","FY 2007","Currency=INR","Period=FY","BEST_FPERIOD_OVERRIDE=FY","FILING_STATUS=MR","EQY_CONSOLIDATED=Y","SCALING_FORMAT=MLN","Sort=A","Dates=H","DateFormat=P","Fill=—","Direction=H","UseDPDF=Y")</f>
        <v>#NAME?</v>
      </c>
      <c r="G28" s="13" t="e" cm="1">
        <f t="array" aca="1" ref="G28" ca="1">_xll.BDH("DATA IN Equity","IS_DEFERRED_INCOME_TAX_BENEFIT","FY 2008","FY 2008","Currency=INR","Period=FY","BEST_FPERIOD_OVERRIDE=FY","FILING_STATUS=MR","EQY_CONSOLIDATED=Y","SCALING_FORMAT=MLN","Sort=A","Dates=H","DateFormat=P","Fill=—","Direction=H","UseDPDF=Y")</f>
        <v>#NAME?</v>
      </c>
      <c r="H28" s="13" t="e" cm="1">
        <f t="array" aca="1" ref="H28" ca="1">_xll.BDH("DATA IN Equity","IS_DEFERRED_INCOME_TAX_BENEFIT","FY 2009","FY 2009","Currency=INR","Period=FY","BEST_FPERIOD_OVERRIDE=FY","FILING_STATUS=MR","EQY_CONSOLIDATED=Y","SCALING_FORMAT=MLN","Sort=A","Dates=H","DateFormat=P","Fill=—","Direction=H","UseDPDF=Y")</f>
        <v>#NAME?</v>
      </c>
      <c r="I28" s="13" t="e" cm="1">
        <f t="array" aca="1" ref="I28" ca="1">_xll.BDH("DATA IN Equity","IS_DEFERRED_INCOME_TAX_BENEFIT","FY 2010","FY 2010","Currency=INR","Period=FY","BEST_FPERIOD_OVERRIDE=FY","FILING_STATUS=MR","EQY_CONSOLIDATED=Y","SCALING_FORMAT=MLN","Sort=A","Dates=H","DateFormat=P","Fill=—","Direction=H","UseDPDF=Y")</f>
        <v>#NAME?</v>
      </c>
      <c r="J28" s="13" t="e" cm="1">
        <f t="array" aca="1" ref="J28" ca="1">_xll.BDH("DATA IN Equity","IS_DEFERRED_INCOME_TAX_BENEFIT","FY 2011","FY 2011","Currency=INR","Period=FY","BEST_FPERIOD_OVERRIDE=FY","FILING_STATUS=MR","EQY_CONSOLIDATED=Y","SCALING_FORMAT=MLN","Sort=A","Dates=H","DateFormat=P","Fill=—","Direction=H","UseDPDF=Y")</f>
        <v>#NAME?</v>
      </c>
      <c r="K28" s="13" t="e" cm="1">
        <f t="array" aca="1" ref="K28" ca="1">_xll.BDH("DATA IN Equity","IS_DEFERRED_INCOME_TAX_BENEFIT","FY 2012","FY 2012","Currency=INR","Period=FY","BEST_FPERIOD_OVERRIDE=FY","FILING_STATUS=MR","EQY_CONSOLIDATED=Y","SCALING_FORMAT=MLN","Sort=A","Dates=H","DateFormat=P","Fill=—","Direction=H","UseDPDF=Y")</f>
        <v>#NAME?</v>
      </c>
      <c r="L28" s="13" t="e" cm="1">
        <f t="array" aca="1" ref="L28" ca="1">_xll.BDH("DATA IN Equity","IS_DEFERRED_INCOME_TAX_BENEFIT","FY 2013","FY 2013","Currency=INR","Period=FY","BEST_FPERIOD_OVERRIDE=FY","FILING_STATUS=MR","EQY_CONSOLIDATED=Y","SCALING_FORMAT=MLN","Sort=A","Dates=H","DateFormat=P","Fill=—","Direction=H","UseDPDF=Y")</f>
        <v>#NAME?</v>
      </c>
      <c r="M28" s="13" t="e" cm="1">
        <f t="array" aca="1" ref="M28" ca="1">_xll.BDH("DATA IN Equity","IS_DEFERRED_INCOME_TAX_BENEFIT","FY 2014","FY 2014","Currency=INR","Period=FY","BEST_FPERIOD_OVERRIDE=FY","FILING_STATUS=MR","EQY_CONSOLIDATED=Y","SCALING_FORMAT=MLN","Sort=A","Dates=H","DateFormat=P","Fill=—","Direction=H","UseDPDF=Y")</f>
        <v>#NAME?</v>
      </c>
      <c r="N28" s="13" t="e" cm="1">
        <f t="array" aca="1" ref="N28" ca="1">_xll.BDH("DATA IN Equity","IS_DEFERRED_INCOME_TAX_BENEFIT","FY 2015","FY 2015","Currency=INR","Period=FY","BEST_FPERIOD_OVERRIDE=FY","FILING_STATUS=MR","EQY_CONSOLIDATED=Y","SCALING_FORMAT=MLN","Sort=A","Dates=H","DateFormat=P","Fill=—","Direction=H","UseDPDF=Y")</f>
        <v>#NAME?</v>
      </c>
      <c r="O28" s="13" t="e" cm="1">
        <f t="array" aca="1" ref="O28" ca="1">_xll.BDH("DATA IN Equity","IS_DEFERRED_INCOME_TAX_BENEFIT","FY 2016","FY 2016","Currency=INR","Period=FY","BEST_FPERIOD_OVERRIDE=FY","FILING_STATUS=MR","EQY_CONSOLIDATED=Y","SCALING_FORMAT=MLN","Sort=A","Dates=H","DateFormat=P","Fill=—","Direction=H","UseDPDF=Y")</f>
        <v>#NAME?</v>
      </c>
      <c r="P28" s="13" t="e" cm="1">
        <f t="array" aca="1" ref="P28" ca="1">_xll.BDH("DATA IN Equity","IS_DEFERRED_INCOME_TAX_BENEFIT","FY 2017","FY 2017","Currency=INR","Period=FY","BEST_FPERIOD_OVERRIDE=FY","FILING_STATUS=MR","EQY_CONSOLIDATED=Y","SCALING_FORMAT=MLN","Sort=A","Dates=H","DateFormat=P","Fill=—","Direction=H","UseDPDF=Y")</f>
        <v>#NAME?</v>
      </c>
      <c r="Q28" s="13" t="e" cm="1">
        <f t="array" aca="1" ref="Q28" ca="1">_xll.BDH("DATA IN Equity","IS_DEFERRED_INCOME_TAX_BENEFIT","FY 2018","FY 2018","Currency=INR","Period=FY","BEST_FPERIOD_OVERRIDE=FY","FILING_STATUS=MR","EQY_CONSOLIDATED=Y","SCALING_FORMAT=MLN","Sort=A","Dates=H","DateFormat=P","Fill=—","Direction=H","UseDPDF=Y")</f>
        <v>#NAME?</v>
      </c>
      <c r="R28" s="13" t="e" cm="1">
        <f t="array" aca="1" ref="R28" ca="1">_xll.BDH("DATA IN Equity","IS_DEFERRED_INCOME_TAX_BENEFIT","FY 2019","FY 2019","Currency=INR","Period=FY","BEST_FPERIOD_OVERRIDE=FY","FILING_STATUS=MR","EQY_CONSOLIDATED=Y","SCALING_FORMAT=MLN","Sort=A","Dates=H","DateFormat=P","Fill=—","Direction=H","UseDPDF=Y")</f>
        <v>#NAME?</v>
      </c>
      <c r="S28" s="13" t="e" cm="1">
        <f t="array" aca="1" ref="S28" ca="1">_xll.BDH("DATA IN Equity","IS_DEFERRED_INCOME_TAX_BENEFIT","FY 2020","FY 2020","Currency=INR","Period=FY","BEST_FPERIOD_OVERRIDE=FY","FILING_STATUS=MR","EQY_CONSOLIDATED=Y","SCALING_FORMAT=MLN","Sort=A","Dates=H","DateFormat=P","Fill=—","Direction=H","UseDPDF=Y")</f>
        <v>#NAME?</v>
      </c>
      <c r="T28" s="13" t="e" cm="1">
        <f t="array" aca="1" ref="T28" ca="1">_xll.BDH("DATA IN Equity","IS_DEFERRED_INCOME_TAX_BENEFIT","FY 2021","FY 2021","Currency=INR","Period=FY","BEST_FPERIOD_OVERRIDE=FY","FILING_STATUS=MR","EQY_CONSOLIDATED=Y","SCALING_FORMAT=MLN","Sort=A","Dates=H","DateFormat=P","Fill=—","Direction=H","UseDPDF=Y")</f>
        <v>#NAME?</v>
      </c>
      <c r="U28" s="13" t="e" cm="1">
        <f t="array" aca="1" ref="U28" ca="1">_xll.BDH("DATA IN Equity","IS_DEFERRED_INCOME_TAX_BENEFIT","FY 2022","FY 2022","Currency=INR","Period=FY","BEST_FPERIOD_OVERRIDE=FY","FILING_STATUS=MR","EQY_CONSOLIDATED=Y","SCALING_FORMAT=MLN","Sort=A","Dates=H","DateFormat=P","Fill=—","Direction=H","UseDPDF=Y")</f>
        <v>#NAME?</v>
      </c>
      <c r="V28" s="13" t="e" cm="1">
        <f t="array" aca="1" ref="V28" ca="1">_xll.BDH("DATA IN Equity","IS_DEFERRED_INCOME_TAX_BENEFIT","FY 2023","FY 2023","Currency=INR","Period=FY","BEST_FPERIOD_OVERRIDE=FY","FILING_STATUS=MR","EQY_CONSOLIDATED=Y","SCALING_FORMAT=MLN","Sort=A","Dates=H","DateFormat=P","Fill=—","Direction=H","UseDPDF=Y")</f>
        <v>#NAME?</v>
      </c>
      <c r="W28" s="13" t="e" cm="1">
        <f t="array" aca="1" ref="W28" ca="1">_xll.BDH("DATA IN Equity","IS_DEFERRED_INCOME_TAX_BENEFIT","FY 2024","FY 2024","Currency=INR","Period=FY","BEST_FPERIOD_OVERRIDE=FY","FILING_STATUS=MR","EQY_CONSOLIDATED=Y","SCALING_FORMAT=MLN","Sort=A","Dates=H","DateFormat=P","Fill=—","Direction=H","UseDPDF=Y")</f>
        <v>#NAME?</v>
      </c>
      <c r="X28" s="13" t="e" cm="1">
        <f t="array" aca="1" ref="X28" ca="1">_xll.BDH("DATA IN Equity","IS_DEFERRED_INCOME_TAX_BENEFIT","FY 2025","FY 2025","Currency=INR","Period=FY","BEST_FPERIOD_OVERRIDE=FY","FILING_STATUS=MR","EQY_CONSOLIDATED=Y","SCALING_FORMAT=MLN","Sort=A","Dates=H","DateFormat=P","Fill=—","Direction=H","UseDPDF=Y")</f>
        <v>#NAME?</v>
      </c>
      <c r="Y28" s="16">
        <v>-170</v>
      </c>
      <c r="Z28" s="13"/>
      <c r="AA28" s="13"/>
    </row>
    <row r="29" spans="1:27" x14ac:dyDescent="0.2">
      <c r="A29" s="6" t="s">
        <v>162</v>
      </c>
      <c r="B29" s="6" t="s">
        <v>163</v>
      </c>
      <c r="C29" s="19" t="e" cm="1">
        <f t="array" aca="1" ref="C29" ca="1">_xll.BDH("DATA IN Equity","IS_INC_BEF_XO_ITEM","FY 2004","FY 2004","Currency=INR","Period=FY","BEST_FPERIOD_OVERRIDE=FY","FILING_STATUS=MR","EQY_CONSOLIDATED=Y","SCALING_FORMAT=MLN","Sort=A","Dates=H","DateFormat=P","Fill=—","Direction=H","UseDPDF=Y")</f>
        <v>#NAME?</v>
      </c>
      <c r="D29" s="19" t="e" cm="1">
        <f t="array" aca="1" ref="D29" ca="1">_xll.BDH("DATA IN Equity","IS_INC_BEF_XO_ITEM","FY 2005","FY 2005","Currency=INR","Period=FY","BEST_FPERIOD_OVERRIDE=FY","FILING_STATUS=MR","EQY_CONSOLIDATED=Y","SCALING_FORMAT=MLN","Sort=A","Dates=H","DateFormat=P","Fill=—","Direction=H","UseDPDF=Y")</f>
        <v>#NAME?</v>
      </c>
      <c r="E29" s="19" t="e" cm="1">
        <f t="array" aca="1" ref="E29" ca="1">_xll.BDH("DATA IN Equity","IS_INC_BEF_XO_ITEM","FY 2006","FY 2006","Currency=INR","Period=FY","BEST_FPERIOD_OVERRIDE=FY","FILING_STATUS=MR","EQY_CONSOLIDATED=Y","SCALING_FORMAT=MLN","Sort=A","Dates=H","DateFormat=P","Fill=—","Direction=H","UseDPDF=Y")</f>
        <v>#NAME?</v>
      </c>
      <c r="F29" s="19" t="e" cm="1">
        <f t="array" aca="1" ref="F29" ca="1">_xll.BDH("DATA IN Equity","IS_INC_BEF_XO_ITEM","FY 2007","FY 2007","Currency=INR","Period=FY","BEST_FPERIOD_OVERRIDE=FY","FILING_STATUS=MR","EQY_CONSOLIDATED=Y","SCALING_FORMAT=MLN","Sort=A","Dates=H","DateFormat=P","Fill=—","Direction=H","UseDPDF=Y")</f>
        <v>#NAME?</v>
      </c>
      <c r="G29" s="19" t="e" cm="1">
        <f t="array" aca="1" ref="G29" ca="1">_xll.BDH("DATA IN Equity","IS_INC_BEF_XO_ITEM","FY 2008","FY 2008","Currency=INR","Period=FY","BEST_FPERIOD_OVERRIDE=FY","FILING_STATUS=MR","EQY_CONSOLIDATED=Y","SCALING_FORMAT=MLN","Sort=A","Dates=H","DateFormat=P","Fill=—","Direction=H","UseDPDF=Y")</f>
        <v>#NAME?</v>
      </c>
      <c r="H29" s="19" t="e" cm="1">
        <f t="array" aca="1" ref="H29" ca="1">_xll.BDH("DATA IN Equity","IS_INC_BEF_XO_ITEM","FY 2009","FY 2009","Currency=INR","Period=FY","BEST_FPERIOD_OVERRIDE=FY","FILING_STATUS=MR","EQY_CONSOLIDATED=Y","SCALING_FORMAT=MLN","Sort=A","Dates=H","DateFormat=P","Fill=—","Direction=H","UseDPDF=Y")</f>
        <v>#NAME?</v>
      </c>
      <c r="I29" s="19" t="e" cm="1">
        <f t="array" aca="1" ref="I29" ca="1">_xll.BDH("DATA IN Equity","IS_INC_BEF_XO_ITEM","FY 2010","FY 2010","Currency=INR","Period=FY","BEST_FPERIOD_OVERRIDE=FY","FILING_STATUS=MR","EQY_CONSOLIDATED=Y","SCALING_FORMAT=MLN","Sort=A","Dates=H","DateFormat=P","Fill=—","Direction=H","UseDPDF=Y")</f>
        <v>#NAME?</v>
      </c>
      <c r="J29" s="19" t="e" cm="1">
        <f t="array" aca="1" ref="J29" ca="1">_xll.BDH("DATA IN Equity","IS_INC_BEF_XO_ITEM","FY 2011","FY 2011","Currency=INR","Period=FY","BEST_FPERIOD_OVERRIDE=FY","FILING_STATUS=MR","EQY_CONSOLIDATED=Y","SCALING_FORMAT=MLN","Sort=A","Dates=H","DateFormat=P","Fill=—","Direction=H","UseDPDF=Y")</f>
        <v>#NAME?</v>
      </c>
      <c r="K29" s="19" t="e" cm="1">
        <f t="array" aca="1" ref="K29" ca="1">_xll.BDH("DATA IN Equity","IS_INC_BEF_XO_ITEM","FY 2012","FY 2012","Currency=INR","Period=FY","BEST_FPERIOD_OVERRIDE=FY","FILING_STATUS=MR","EQY_CONSOLIDATED=Y","SCALING_FORMAT=MLN","Sort=A","Dates=H","DateFormat=P","Fill=—","Direction=H","UseDPDF=Y")</f>
        <v>#NAME?</v>
      </c>
      <c r="L29" s="19" t="e" cm="1">
        <f t="array" aca="1" ref="L29" ca="1">_xll.BDH("DATA IN Equity","IS_INC_BEF_XO_ITEM","FY 2013","FY 2013","Currency=INR","Period=FY","BEST_FPERIOD_OVERRIDE=FY","FILING_STATUS=MR","EQY_CONSOLIDATED=Y","SCALING_FORMAT=MLN","Sort=A","Dates=H","DateFormat=P","Fill=—","Direction=H","UseDPDF=Y")</f>
        <v>#NAME?</v>
      </c>
      <c r="M29" s="19" t="e" cm="1">
        <f t="array" aca="1" ref="M29" ca="1">_xll.BDH("DATA IN Equity","IS_INC_BEF_XO_ITEM","FY 2014","FY 2014","Currency=INR","Period=FY","BEST_FPERIOD_OVERRIDE=FY","FILING_STATUS=MR","EQY_CONSOLIDATED=Y","SCALING_FORMAT=MLN","Sort=A","Dates=H","DateFormat=P","Fill=—","Direction=H","UseDPDF=Y")</f>
        <v>#NAME?</v>
      </c>
      <c r="N29" s="19" t="e" cm="1">
        <f t="array" aca="1" ref="N29" ca="1">_xll.BDH("DATA IN Equity","IS_INC_BEF_XO_ITEM","FY 2015","FY 2015","Currency=INR","Period=FY","BEST_FPERIOD_OVERRIDE=FY","FILING_STATUS=MR","EQY_CONSOLIDATED=Y","SCALING_FORMAT=MLN","Sort=A","Dates=H","DateFormat=P","Fill=—","Direction=H","UseDPDF=Y")</f>
        <v>#NAME?</v>
      </c>
      <c r="O29" s="19" t="e" cm="1">
        <f t="array" aca="1" ref="O29" ca="1">_xll.BDH("DATA IN Equity","IS_INC_BEF_XO_ITEM","FY 2016","FY 2016","Currency=INR","Period=FY","BEST_FPERIOD_OVERRIDE=FY","FILING_STATUS=MR","EQY_CONSOLIDATED=Y","SCALING_FORMAT=MLN","Sort=A","Dates=H","DateFormat=P","Fill=—","Direction=H","UseDPDF=Y")</f>
        <v>#NAME?</v>
      </c>
      <c r="P29" s="19" t="e" cm="1">
        <f t="array" aca="1" ref="P29" ca="1">_xll.BDH("DATA IN Equity","IS_INC_BEF_XO_ITEM","FY 2017","FY 2017","Currency=INR","Period=FY","BEST_FPERIOD_OVERRIDE=FY","FILING_STATUS=MR","EQY_CONSOLIDATED=Y","SCALING_FORMAT=MLN","Sort=A","Dates=H","DateFormat=P","Fill=—","Direction=H","UseDPDF=Y")</f>
        <v>#NAME?</v>
      </c>
      <c r="Q29" s="19" t="e" cm="1">
        <f t="array" aca="1" ref="Q29" ca="1">_xll.BDH("DATA IN Equity","IS_INC_BEF_XO_ITEM","FY 2018","FY 2018","Currency=INR","Period=FY","BEST_FPERIOD_OVERRIDE=FY","FILING_STATUS=MR","EQY_CONSOLIDATED=Y","SCALING_FORMAT=MLN","Sort=A","Dates=H","DateFormat=P","Fill=—","Direction=H","UseDPDF=Y")</f>
        <v>#NAME?</v>
      </c>
      <c r="R29" s="19" t="e" cm="1">
        <f t="array" aca="1" ref="R29" ca="1">_xll.BDH("DATA IN Equity","IS_INC_BEF_XO_ITEM","FY 2019","FY 2019","Currency=INR","Period=FY","BEST_FPERIOD_OVERRIDE=FY","FILING_STATUS=MR","EQY_CONSOLIDATED=Y","SCALING_FORMAT=MLN","Sort=A","Dates=H","DateFormat=P","Fill=—","Direction=H","UseDPDF=Y")</f>
        <v>#NAME?</v>
      </c>
      <c r="S29" s="19" t="e" cm="1">
        <f t="array" aca="1" ref="S29" ca="1">_xll.BDH("DATA IN Equity","IS_INC_BEF_XO_ITEM","FY 2020","FY 2020","Currency=INR","Period=FY","BEST_FPERIOD_OVERRIDE=FY","FILING_STATUS=MR","EQY_CONSOLIDATED=Y","SCALING_FORMAT=MLN","Sort=A","Dates=H","DateFormat=P","Fill=—","Direction=H","UseDPDF=Y")</f>
        <v>#NAME?</v>
      </c>
      <c r="T29" s="19" t="e" cm="1">
        <f t="array" aca="1" ref="T29" ca="1">_xll.BDH("DATA IN Equity","IS_INC_BEF_XO_ITEM","FY 2021","FY 2021","Currency=INR","Period=FY","BEST_FPERIOD_OVERRIDE=FY","FILING_STATUS=MR","EQY_CONSOLIDATED=Y","SCALING_FORMAT=MLN","Sort=A","Dates=H","DateFormat=P","Fill=—","Direction=H","UseDPDF=Y")</f>
        <v>#NAME?</v>
      </c>
      <c r="U29" s="19" t="e" cm="1">
        <f t="array" aca="1" ref="U29" ca="1">_xll.BDH("DATA IN Equity","IS_INC_BEF_XO_ITEM","FY 2022","FY 2022","Currency=INR","Period=FY","BEST_FPERIOD_OVERRIDE=FY","FILING_STATUS=MR","EQY_CONSOLIDATED=Y","SCALING_FORMAT=MLN","Sort=A","Dates=H","DateFormat=P","Fill=—","Direction=H","UseDPDF=Y")</f>
        <v>#NAME?</v>
      </c>
      <c r="V29" s="19" t="e" cm="1">
        <f t="array" aca="1" ref="V29" ca="1">_xll.BDH("DATA IN Equity","IS_INC_BEF_XO_ITEM","FY 2023","FY 2023","Currency=INR","Period=FY","BEST_FPERIOD_OVERRIDE=FY","FILING_STATUS=MR","EQY_CONSOLIDATED=Y","SCALING_FORMAT=MLN","Sort=A","Dates=H","DateFormat=P","Fill=—","Direction=H","UseDPDF=Y")</f>
        <v>#NAME?</v>
      </c>
      <c r="W29" s="19" t="e" cm="1">
        <f t="array" aca="1" ref="W29" ca="1">_xll.BDH("DATA IN Equity","IS_INC_BEF_XO_ITEM","FY 2024","FY 2024","Currency=INR","Period=FY","BEST_FPERIOD_OVERRIDE=FY","FILING_STATUS=MR","EQY_CONSOLIDATED=Y","SCALING_FORMAT=MLN","Sort=A","Dates=H","DateFormat=P","Fill=—","Direction=H","UseDPDF=Y")</f>
        <v>#NAME?</v>
      </c>
      <c r="X29" s="19" t="e" cm="1">
        <f t="array" aca="1" ref="X29" ca="1">_xll.BDH("DATA IN Equity","IS_INC_BEF_XO_ITEM","FY 2025","FY 2025","Currency=INR","Period=FY","BEST_FPERIOD_OVERRIDE=FY","FILING_STATUS=MR","EQY_CONSOLIDATED=Y","SCALING_FORMAT=MLN","Sort=A","Dates=H","DateFormat=P","Fill=—","Direction=H","UseDPDF=Y")</f>
        <v>#NAME?</v>
      </c>
      <c r="Y29" s="22">
        <v>1949.6</v>
      </c>
      <c r="Z29" s="19">
        <v>2500</v>
      </c>
      <c r="AA29" s="19">
        <v>2900</v>
      </c>
    </row>
    <row r="30" spans="1:27" x14ac:dyDescent="0.2">
      <c r="A30" s="10" t="s">
        <v>164</v>
      </c>
      <c r="B30" s="10" t="s">
        <v>165</v>
      </c>
      <c r="C30" s="13" t="e" cm="1">
        <f t="array" aca="1" ref="C30" ca="1">_xll.BDH("DATA IN Equity","XO_GL_NET_OF_TAX","FY 2004","FY 2004","Currency=INR","Period=FY","BEST_FPERIOD_OVERRIDE=FY","FILING_STATUS=MR","EQY_CONSOLIDATED=Y","SCALING_FORMAT=MLN","Sort=A","Dates=H","DateFormat=P","Fill=—","Direction=H","UseDPDF=Y")</f>
        <v>#NAME?</v>
      </c>
      <c r="D30" s="13" t="e" cm="1">
        <f t="array" aca="1" ref="D30" ca="1">_xll.BDH("DATA IN Equity","XO_GL_NET_OF_TAX","FY 2005","FY 2005","Currency=INR","Period=FY","BEST_FPERIOD_OVERRIDE=FY","FILING_STATUS=MR","EQY_CONSOLIDATED=Y","SCALING_FORMAT=MLN","Sort=A","Dates=H","DateFormat=P","Fill=—","Direction=H","UseDPDF=Y")</f>
        <v>#NAME?</v>
      </c>
      <c r="E30" s="13" t="e" cm="1">
        <f t="array" aca="1" ref="E30" ca="1">_xll.BDH("DATA IN Equity","XO_GL_NET_OF_TAX","FY 2006","FY 2006","Currency=INR","Period=FY","BEST_FPERIOD_OVERRIDE=FY","FILING_STATUS=MR","EQY_CONSOLIDATED=Y","SCALING_FORMAT=MLN","Sort=A","Dates=H","DateFormat=P","Fill=—","Direction=H","UseDPDF=Y")</f>
        <v>#NAME?</v>
      </c>
      <c r="F30" s="13" t="e" cm="1">
        <f t="array" aca="1" ref="F30" ca="1">_xll.BDH("DATA IN Equity","XO_GL_NET_OF_TAX","FY 2007","FY 2007","Currency=INR","Period=FY","BEST_FPERIOD_OVERRIDE=FY","FILING_STATUS=MR","EQY_CONSOLIDATED=Y","SCALING_FORMAT=MLN","Sort=A","Dates=H","DateFormat=P","Fill=—","Direction=H","UseDPDF=Y")</f>
        <v>#NAME?</v>
      </c>
      <c r="G30" s="13" t="e" cm="1">
        <f t="array" aca="1" ref="G30" ca="1">_xll.BDH("DATA IN Equity","XO_GL_NET_OF_TAX","FY 2008","FY 2008","Currency=INR","Period=FY","BEST_FPERIOD_OVERRIDE=FY","FILING_STATUS=MR","EQY_CONSOLIDATED=Y","SCALING_FORMAT=MLN","Sort=A","Dates=H","DateFormat=P","Fill=—","Direction=H","UseDPDF=Y")</f>
        <v>#NAME?</v>
      </c>
      <c r="H30" s="13" t="e" cm="1">
        <f t="array" aca="1" ref="H30" ca="1">_xll.BDH("DATA IN Equity","XO_GL_NET_OF_TAX","FY 2009","FY 2009","Currency=INR","Period=FY","BEST_FPERIOD_OVERRIDE=FY","FILING_STATUS=MR","EQY_CONSOLIDATED=Y","SCALING_FORMAT=MLN","Sort=A","Dates=H","DateFormat=P","Fill=—","Direction=H","UseDPDF=Y")</f>
        <v>#NAME?</v>
      </c>
      <c r="I30" s="13" t="e" cm="1">
        <f t="array" aca="1" ref="I30" ca="1">_xll.BDH("DATA IN Equity","XO_GL_NET_OF_TAX","FY 2010","FY 2010","Currency=INR","Period=FY","BEST_FPERIOD_OVERRIDE=FY","FILING_STATUS=MR","EQY_CONSOLIDATED=Y","SCALING_FORMAT=MLN","Sort=A","Dates=H","DateFormat=P","Fill=—","Direction=H","UseDPDF=Y")</f>
        <v>#NAME?</v>
      </c>
      <c r="J30" s="13" t="e" cm="1">
        <f t="array" aca="1" ref="J30" ca="1">_xll.BDH("DATA IN Equity","XO_GL_NET_OF_TAX","FY 2011","FY 2011","Currency=INR","Period=FY","BEST_FPERIOD_OVERRIDE=FY","FILING_STATUS=MR","EQY_CONSOLIDATED=Y","SCALING_FORMAT=MLN","Sort=A","Dates=H","DateFormat=P","Fill=—","Direction=H","UseDPDF=Y")</f>
        <v>#NAME?</v>
      </c>
      <c r="K30" s="13" t="e" cm="1">
        <f t="array" aca="1" ref="K30" ca="1">_xll.BDH("DATA IN Equity","XO_GL_NET_OF_TAX","FY 2012","FY 2012","Currency=INR","Period=FY","BEST_FPERIOD_OVERRIDE=FY","FILING_STATUS=MR","EQY_CONSOLIDATED=Y","SCALING_FORMAT=MLN","Sort=A","Dates=H","DateFormat=P","Fill=—","Direction=H","UseDPDF=Y")</f>
        <v>#NAME?</v>
      </c>
      <c r="L30" s="13" t="e" cm="1">
        <f t="array" aca="1" ref="L30" ca="1">_xll.BDH("DATA IN Equity","XO_GL_NET_OF_TAX","FY 2013","FY 2013","Currency=INR","Period=FY","BEST_FPERIOD_OVERRIDE=FY","FILING_STATUS=MR","EQY_CONSOLIDATED=Y","SCALING_FORMAT=MLN","Sort=A","Dates=H","DateFormat=P","Fill=—","Direction=H","UseDPDF=Y")</f>
        <v>#NAME?</v>
      </c>
      <c r="M30" s="13" t="e" cm="1">
        <f t="array" aca="1" ref="M30" ca="1">_xll.BDH("DATA IN Equity","XO_GL_NET_OF_TAX","FY 2014","FY 2014","Currency=INR","Period=FY","BEST_FPERIOD_OVERRIDE=FY","FILING_STATUS=MR","EQY_CONSOLIDATED=Y","SCALING_FORMAT=MLN","Sort=A","Dates=H","DateFormat=P","Fill=—","Direction=H","UseDPDF=Y")</f>
        <v>#NAME?</v>
      </c>
      <c r="N30" s="13" t="e" cm="1">
        <f t="array" aca="1" ref="N30" ca="1">_xll.BDH("DATA IN Equity","XO_GL_NET_OF_TAX","FY 2015","FY 2015","Currency=INR","Period=FY","BEST_FPERIOD_OVERRIDE=FY","FILING_STATUS=MR","EQY_CONSOLIDATED=Y","SCALING_FORMAT=MLN","Sort=A","Dates=H","DateFormat=P","Fill=—","Direction=H","UseDPDF=Y")</f>
        <v>#NAME?</v>
      </c>
      <c r="O30" s="13" t="e" cm="1">
        <f t="array" aca="1" ref="O30" ca="1">_xll.BDH("DATA IN Equity","XO_GL_NET_OF_TAX","FY 2016","FY 2016","Currency=INR","Period=FY","BEST_FPERIOD_OVERRIDE=FY","FILING_STATUS=MR","EQY_CONSOLIDATED=Y","SCALING_FORMAT=MLN","Sort=A","Dates=H","DateFormat=P","Fill=—","Direction=H","UseDPDF=Y")</f>
        <v>#NAME?</v>
      </c>
      <c r="P30" s="13" t="e" cm="1">
        <f t="array" aca="1" ref="P30" ca="1">_xll.BDH("DATA IN Equity","XO_GL_NET_OF_TAX","FY 2017","FY 2017","Currency=INR","Period=FY","BEST_FPERIOD_OVERRIDE=FY","FILING_STATUS=MR","EQY_CONSOLIDATED=Y","SCALING_FORMAT=MLN","Sort=A","Dates=H","DateFormat=P","Fill=—","Direction=H","UseDPDF=Y")</f>
        <v>#NAME?</v>
      </c>
      <c r="Q30" s="13" t="e" cm="1">
        <f t="array" aca="1" ref="Q30" ca="1">_xll.BDH("DATA IN Equity","XO_GL_NET_OF_TAX","FY 2018","FY 2018","Currency=INR","Period=FY","BEST_FPERIOD_OVERRIDE=FY","FILING_STATUS=MR","EQY_CONSOLIDATED=Y","SCALING_FORMAT=MLN","Sort=A","Dates=H","DateFormat=P","Fill=—","Direction=H","UseDPDF=Y")</f>
        <v>#NAME?</v>
      </c>
      <c r="R30" s="13" t="e" cm="1">
        <f t="array" aca="1" ref="R30" ca="1">_xll.BDH("DATA IN Equity","XO_GL_NET_OF_TAX","FY 2019","FY 2019","Currency=INR","Period=FY","BEST_FPERIOD_OVERRIDE=FY","FILING_STATUS=MR","EQY_CONSOLIDATED=Y","SCALING_FORMAT=MLN","Sort=A","Dates=H","DateFormat=P","Fill=—","Direction=H","UseDPDF=Y")</f>
        <v>#NAME?</v>
      </c>
      <c r="S30" s="13" t="e" cm="1">
        <f t="array" aca="1" ref="S30" ca="1">_xll.BDH("DATA IN Equity","XO_GL_NET_OF_TAX","FY 2020","FY 2020","Currency=INR","Period=FY","BEST_FPERIOD_OVERRIDE=FY","FILING_STATUS=MR","EQY_CONSOLIDATED=Y","SCALING_FORMAT=MLN","Sort=A","Dates=H","DateFormat=P","Fill=—","Direction=H","UseDPDF=Y")</f>
        <v>#NAME?</v>
      </c>
      <c r="T30" s="13" t="e" cm="1">
        <f t="array" aca="1" ref="T30" ca="1">_xll.BDH("DATA IN Equity","XO_GL_NET_OF_TAX","FY 2021","FY 2021","Currency=INR","Period=FY","BEST_FPERIOD_OVERRIDE=FY","FILING_STATUS=MR","EQY_CONSOLIDATED=Y","SCALING_FORMAT=MLN","Sort=A","Dates=H","DateFormat=P","Fill=—","Direction=H","UseDPDF=Y")</f>
        <v>#NAME?</v>
      </c>
      <c r="U30" s="13" t="e" cm="1">
        <f t="array" aca="1" ref="U30" ca="1">_xll.BDH("DATA IN Equity","XO_GL_NET_OF_TAX","FY 2022","FY 2022","Currency=INR","Period=FY","BEST_FPERIOD_OVERRIDE=FY","FILING_STATUS=MR","EQY_CONSOLIDATED=Y","SCALING_FORMAT=MLN","Sort=A","Dates=H","DateFormat=P","Fill=—","Direction=H","UseDPDF=Y")</f>
        <v>#NAME?</v>
      </c>
      <c r="V30" s="13" t="e" cm="1">
        <f t="array" aca="1" ref="V30" ca="1">_xll.BDH("DATA IN Equity","XO_GL_NET_OF_TAX","FY 2023","FY 2023","Currency=INR","Period=FY","BEST_FPERIOD_OVERRIDE=FY","FILING_STATUS=MR","EQY_CONSOLIDATED=Y","SCALING_FORMAT=MLN","Sort=A","Dates=H","DateFormat=P","Fill=—","Direction=H","UseDPDF=Y")</f>
        <v>#NAME?</v>
      </c>
      <c r="W30" s="13" t="e" cm="1">
        <f t="array" aca="1" ref="W30" ca="1">_xll.BDH("DATA IN Equity","XO_GL_NET_OF_TAX","FY 2024","FY 2024","Currency=INR","Period=FY","BEST_FPERIOD_OVERRIDE=FY","FILING_STATUS=MR","EQY_CONSOLIDATED=Y","SCALING_FORMAT=MLN","Sort=A","Dates=H","DateFormat=P","Fill=—","Direction=H","UseDPDF=Y")</f>
        <v>#NAME?</v>
      </c>
      <c r="X30" s="13" t="e" cm="1">
        <f t="array" aca="1" ref="X30" ca="1">_xll.BDH("DATA IN Equity","XO_GL_NET_OF_TAX","FY 2025","FY 2025","Currency=INR","Period=FY","BEST_FPERIOD_OVERRIDE=FY","FILING_STATUS=MR","EQY_CONSOLIDATED=Y","SCALING_FORMAT=MLN","Sort=A","Dates=H","DateFormat=P","Fill=—","Direction=H","UseDPDF=Y")</f>
        <v>#NAME?</v>
      </c>
      <c r="Y30" s="16">
        <v>0</v>
      </c>
      <c r="Z30" s="13"/>
      <c r="AA30" s="13"/>
    </row>
    <row r="31" spans="1:27" x14ac:dyDescent="0.2">
      <c r="A31" s="10" t="s">
        <v>166</v>
      </c>
      <c r="B31" s="10" t="s">
        <v>167</v>
      </c>
      <c r="C31" s="13" t="e" cm="1">
        <f t="array" aca="1" ref="C31" ca="1">_xll.BDH("DATA IN Equity","IS_DISCONTINUED_OPERATIONS","FY 2004","FY 2004","Currency=INR","Period=FY","BEST_FPERIOD_OVERRIDE=FY","FILING_STATUS=MR","EQY_CONSOLIDATED=Y","SCALING_FORMAT=MLN","Sort=A","Dates=H","DateFormat=P","Fill=—","Direction=H","UseDPDF=Y")</f>
        <v>#NAME?</v>
      </c>
      <c r="D31" s="13" t="e" cm="1">
        <f t="array" aca="1" ref="D31" ca="1">_xll.BDH("DATA IN Equity","IS_DISCONTINUED_OPERATIONS","FY 2005","FY 2005","Currency=INR","Period=FY","BEST_FPERIOD_OVERRIDE=FY","FILING_STATUS=MR","EQY_CONSOLIDATED=Y","SCALING_FORMAT=MLN","Sort=A","Dates=H","DateFormat=P","Fill=—","Direction=H","UseDPDF=Y")</f>
        <v>#NAME?</v>
      </c>
      <c r="E31" s="13" t="e" cm="1">
        <f t="array" aca="1" ref="E31" ca="1">_xll.BDH("DATA IN Equity","IS_DISCONTINUED_OPERATIONS","FY 2006","FY 2006","Currency=INR","Period=FY","BEST_FPERIOD_OVERRIDE=FY","FILING_STATUS=MR","EQY_CONSOLIDATED=Y","SCALING_FORMAT=MLN","Sort=A","Dates=H","DateFormat=P","Fill=—","Direction=H","UseDPDF=Y")</f>
        <v>#NAME?</v>
      </c>
      <c r="F31" s="13" t="e" cm="1">
        <f t="array" aca="1" ref="F31" ca="1">_xll.BDH("DATA IN Equity","IS_DISCONTINUED_OPERATIONS","FY 2007","FY 2007","Currency=INR","Period=FY","BEST_FPERIOD_OVERRIDE=FY","FILING_STATUS=MR","EQY_CONSOLIDATED=Y","SCALING_FORMAT=MLN","Sort=A","Dates=H","DateFormat=P","Fill=—","Direction=H","UseDPDF=Y")</f>
        <v>#NAME?</v>
      </c>
      <c r="G31" s="13" t="e" cm="1">
        <f t="array" aca="1" ref="G31" ca="1">_xll.BDH("DATA IN Equity","IS_DISCONTINUED_OPERATIONS","FY 2008","FY 2008","Currency=INR","Period=FY","BEST_FPERIOD_OVERRIDE=FY","FILING_STATUS=MR","EQY_CONSOLIDATED=Y","SCALING_FORMAT=MLN","Sort=A","Dates=H","DateFormat=P","Fill=—","Direction=H","UseDPDF=Y")</f>
        <v>#NAME?</v>
      </c>
      <c r="H31" s="13" t="e" cm="1">
        <f t="array" aca="1" ref="H31" ca="1">_xll.BDH("DATA IN Equity","IS_DISCONTINUED_OPERATIONS","FY 2009","FY 2009","Currency=INR","Period=FY","BEST_FPERIOD_OVERRIDE=FY","FILING_STATUS=MR","EQY_CONSOLIDATED=Y","SCALING_FORMAT=MLN","Sort=A","Dates=H","DateFormat=P","Fill=—","Direction=H","UseDPDF=Y")</f>
        <v>#NAME?</v>
      </c>
      <c r="I31" s="13" t="e" cm="1">
        <f t="array" aca="1" ref="I31" ca="1">_xll.BDH("DATA IN Equity","IS_DISCONTINUED_OPERATIONS","FY 2010","FY 2010","Currency=INR","Period=FY","BEST_FPERIOD_OVERRIDE=FY","FILING_STATUS=MR","EQY_CONSOLIDATED=Y","SCALING_FORMAT=MLN","Sort=A","Dates=H","DateFormat=P","Fill=—","Direction=H","UseDPDF=Y")</f>
        <v>#NAME?</v>
      </c>
      <c r="J31" s="13" t="e" cm="1">
        <f t="array" aca="1" ref="J31" ca="1">_xll.BDH("DATA IN Equity","IS_DISCONTINUED_OPERATIONS","FY 2011","FY 2011","Currency=INR","Period=FY","BEST_FPERIOD_OVERRIDE=FY","FILING_STATUS=MR","EQY_CONSOLIDATED=Y","SCALING_FORMAT=MLN","Sort=A","Dates=H","DateFormat=P","Fill=—","Direction=H","UseDPDF=Y")</f>
        <v>#NAME?</v>
      </c>
      <c r="K31" s="13" t="e" cm="1">
        <f t="array" aca="1" ref="K31" ca="1">_xll.BDH("DATA IN Equity","IS_DISCONTINUED_OPERATIONS","FY 2012","FY 2012","Currency=INR","Period=FY","BEST_FPERIOD_OVERRIDE=FY","FILING_STATUS=MR","EQY_CONSOLIDATED=Y","SCALING_FORMAT=MLN","Sort=A","Dates=H","DateFormat=P","Fill=—","Direction=H","UseDPDF=Y")</f>
        <v>#NAME?</v>
      </c>
      <c r="L31" s="13" t="e" cm="1">
        <f t="array" aca="1" ref="L31" ca="1">_xll.BDH("DATA IN Equity","IS_DISCONTINUED_OPERATIONS","FY 2013","FY 2013","Currency=INR","Period=FY","BEST_FPERIOD_OVERRIDE=FY","FILING_STATUS=MR","EQY_CONSOLIDATED=Y","SCALING_FORMAT=MLN","Sort=A","Dates=H","DateFormat=P","Fill=—","Direction=H","UseDPDF=Y")</f>
        <v>#NAME?</v>
      </c>
      <c r="M31" s="13" t="e" cm="1">
        <f t="array" aca="1" ref="M31" ca="1">_xll.BDH("DATA IN Equity","IS_DISCONTINUED_OPERATIONS","FY 2014","FY 2014","Currency=INR","Period=FY","BEST_FPERIOD_OVERRIDE=FY","FILING_STATUS=MR","EQY_CONSOLIDATED=Y","SCALING_FORMAT=MLN","Sort=A","Dates=H","DateFormat=P","Fill=—","Direction=H","UseDPDF=Y")</f>
        <v>#NAME?</v>
      </c>
      <c r="N31" s="13" t="e" cm="1">
        <f t="array" aca="1" ref="N31" ca="1">_xll.BDH("DATA IN Equity","IS_DISCONTINUED_OPERATIONS","FY 2015","FY 2015","Currency=INR","Period=FY","BEST_FPERIOD_OVERRIDE=FY","FILING_STATUS=MR","EQY_CONSOLIDATED=Y","SCALING_FORMAT=MLN","Sort=A","Dates=H","DateFormat=P","Fill=—","Direction=H","UseDPDF=Y")</f>
        <v>#NAME?</v>
      </c>
      <c r="O31" s="13" t="e" cm="1">
        <f t="array" aca="1" ref="O31" ca="1">_xll.BDH("DATA IN Equity","IS_DISCONTINUED_OPERATIONS","FY 2016","FY 2016","Currency=INR","Period=FY","BEST_FPERIOD_OVERRIDE=FY","FILING_STATUS=MR","EQY_CONSOLIDATED=Y","SCALING_FORMAT=MLN","Sort=A","Dates=H","DateFormat=P","Fill=—","Direction=H","UseDPDF=Y")</f>
        <v>#NAME?</v>
      </c>
      <c r="P31" s="13" t="e" cm="1">
        <f t="array" aca="1" ref="P31" ca="1">_xll.BDH("DATA IN Equity","IS_DISCONTINUED_OPERATIONS","FY 2017","FY 2017","Currency=INR","Period=FY","BEST_FPERIOD_OVERRIDE=FY","FILING_STATUS=MR","EQY_CONSOLIDATED=Y","SCALING_FORMAT=MLN","Sort=A","Dates=H","DateFormat=P","Fill=—","Direction=H","UseDPDF=Y")</f>
        <v>#NAME?</v>
      </c>
      <c r="Q31" s="13" t="e" cm="1">
        <f t="array" aca="1" ref="Q31" ca="1">_xll.BDH("DATA IN Equity","IS_DISCONTINUED_OPERATIONS","FY 2018","FY 2018","Currency=INR","Period=FY","BEST_FPERIOD_OVERRIDE=FY","FILING_STATUS=MR","EQY_CONSOLIDATED=Y","SCALING_FORMAT=MLN","Sort=A","Dates=H","DateFormat=P","Fill=—","Direction=H","UseDPDF=Y")</f>
        <v>#NAME?</v>
      </c>
      <c r="R31" s="13" t="e" cm="1">
        <f t="array" aca="1" ref="R31" ca="1">_xll.BDH("DATA IN Equity","IS_DISCONTINUED_OPERATIONS","FY 2019","FY 2019","Currency=INR","Period=FY","BEST_FPERIOD_OVERRIDE=FY","FILING_STATUS=MR","EQY_CONSOLIDATED=Y","SCALING_FORMAT=MLN","Sort=A","Dates=H","DateFormat=P","Fill=—","Direction=H","UseDPDF=Y")</f>
        <v>#NAME?</v>
      </c>
      <c r="S31" s="13" t="e" cm="1">
        <f t="array" aca="1" ref="S31" ca="1">_xll.BDH("DATA IN Equity","IS_DISCONTINUED_OPERATIONS","FY 2020","FY 2020","Currency=INR","Period=FY","BEST_FPERIOD_OVERRIDE=FY","FILING_STATUS=MR","EQY_CONSOLIDATED=Y","SCALING_FORMAT=MLN","Sort=A","Dates=H","DateFormat=P","Fill=—","Direction=H","UseDPDF=Y")</f>
        <v>#NAME?</v>
      </c>
      <c r="T31" s="13" t="e" cm="1">
        <f t="array" aca="1" ref="T31" ca="1">_xll.BDH("DATA IN Equity","IS_DISCONTINUED_OPERATIONS","FY 2021","FY 2021","Currency=INR","Period=FY","BEST_FPERIOD_OVERRIDE=FY","FILING_STATUS=MR","EQY_CONSOLIDATED=Y","SCALING_FORMAT=MLN","Sort=A","Dates=H","DateFormat=P","Fill=—","Direction=H","UseDPDF=Y")</f>
        <v>#NAME?</v>
      </c>
      <c r="U31" s="13" t="e" cm="1">
        <f t="array" aca="1" ref="U31" ca="1">_xll.BDH("DATA IN Equity","IS_DISCONTINUED_OPERATIONS","FY 2022","FY 2022","Currency=INR","Period=FY","BEST_FPERIOD_OVERRIDE=FY","FILING_STATUS=MR","EQY_CONSOLIDATED=Y","SCALING_FORMAT=MLN","Sort=A","Dates=H","DateFormat=P","Fill=—","Direction=H","UseDPDF=Y")</f>
        <v>#NAME?</v>
      </c>
      <c r="V31" s="13" t="e" cm="1">
        <f t="array" aca="1" ref="V31" ca="1">_xll.BDH("DATA IN Equity","IS_DISCONTINUED_OPERATIONS","FY 2023","FY 2023","Currency=INR","Period=FY","BEST_FPERIOD_OVERRIDE=FY","FILING_STATUS=MR","EQY_CONSOLIDATED=Y","SCALING_FORMAT=MLN","Sort=A","Dates=H","DateFormat=P","Fill=—","Direction=H","UseDPDF=Y")</f>
        <v>#NAME?</v>
      </c>
      <c r="W31" s="13" t="e" cm="1">
        <f t="array" aca="1" ref="W31" ca="1">_xll.BDH("DATA IN Equity","IS_DISCONTINUED_OPERATIONS","FY 2024","FY 2024","Currency=INR","Period=FY","BEST_FPERIOD_OVERRIDE=FY","FILING_STATUS=MR","EQY_CONSOLIDATED=Y","SCALING_FORMAT=MLN","Sort=A","Dates=H","DateFormat=P","Fill=—","Direction=H","UseDPDF=Y")</f>
        <v>#NAME?</v>
      </c>
      <c r="X31" s="13" t="e" cm="1">
        <f t="array" aca="1" ref="X31" ca="1">_xll.BDH("DATA IN Equity","IS_DISCONTINUED_OPERATIONS","FY 2025","FY 2025","Currency=INR","Period=FY","BEST_FPERIOD_OVERRIDE=FY","FILING_STATUS=MR","EQY_CONSOLIDATED=Y","SCALING_FORMAT=MLN","Sort=A","Dates=H","DateFormat=P","Fill=—","Direction=H","UseDPDF=Y")</f>
        <v>#NAME?</v>
      </c>
      <c r="Y31" s="16">
        <v>0</v>
      </c>
      <c r="Z31" s="13"/>
      <c r="AA31" s="13"/>
    </row>
    <row r="32" spans="1:27" x14ac:dyDescent="0.2">
      <c r="A32" s="10" t="s">
        <v>168</v>
      </c>
      <c r="B32" s="10" t="s">
        <v>169</v>
      </c>
      <c r="C32" s="13" t="e" cm="1">
        <f t="array" aca="1" ref="C32" ca="1">_xll.BDH("DATA IN Equity","EXTRAORD_ITEMS_ACCOUNTING_CHANGS","FY 2004","FY 2004","Currency=INR","Period=FY","BEST_FPERIOD_OVERRIDE=FY","FILING_STATUS=MR","EQY_CONSOLIDATED=Y","SCALING_FORMAT=MLN","Sort=A","Dates=H","DateFormat=P","Fill=—","Direction=H","UseDPDF=Y")</f>
        <v>#NAME?</v>
      </c>
      <c r="D32" s="13" t="e" cm="1">
        <f t="array" aca="1" ref="D32" ca="1">_xll.BDH("DATA IN Equity","EXTRAORD_ITEMS_ACCOUNTING_CHANGS","FY 2005","FY 2005","Currency=INR","Period=FY","BEST_FPERIOD_OVERRIDE=FY","FILING_STATUS=MR","EQY_CONSOLIDATED=Y","SCALING_FORMAT=MLN","Sort=A","Dates=H","DateFormat=P","Fill=—","Direction=H","UseDPDF=Y")</f>
        <v>#NAME?</v>
      </c>
      <c r="E32" s="13" t="e" cm="1">
        <f t="array" aca="1" ref="E32" ca="1">_xll.BDH("DATA IN Equity","EXTRAORD_ITEMS_ACCOUNTING_CHANGS","FY 2006","FY 2006","Currency=INR","Period=FY","BEST_FPERIOD_OVERRIDE=FY","FILING_STATUS=MR","EQY_CONSOLIDATED=Y","SCALING_FORMAT=MLN","Sort=A","Dates=H","DateFormat=P","Fill=—","Direction=H","UseDPDF=Y")</f>
        <v>#NAME?</v>
      </c>
      <c r="F32" s="13" t="e" cm="1">
        <f t="array" aca="1" ref="F32" ca="1">_xll.BDH("DATA IN Equity","EXTRAORD_ITEMS_ACCOUNTING_CHANGS","FY 2007","FY 2007","Currency=INR","Period=FY","BEST_FPERIOD_OVERRIDE=FY","FILING_STATUS=MR","EQY_CONSOLIDATED=Y","SCALING_FORMAT=MLN","Sort=A","Dates=H","DateFormat=P","Fill=—","Direction=H","UseDPDF=Y")</f>
        <v>#NAME?</v>
      </c>
      <c r="G32" s="13" t="e" cm="1">
        <f t="array" aca="1" ref="G32" ca="1">_xll.BDH("DATA IN Equity","EXTRAORD_ITEMS_ACCOUNTING_CHANGS","FY 2008","FY 2008","Currency=INR","Period=FY","BEST_FPERIOD_OVERRIDE=FY","FILING_STATUS=MR","EQY_CONSOLIDATED=Y","SCALING_FORMAT=MLN","Sort=A","Dates=H","DateFormat=P","Fill=—","Direction=H","UseDPDF=Y")</f>
        <v>#NAME?</v>
      </c>
      <c r="H32" s="13" t="e" cm="1">
        <f t="array" aca="1" ref="H32" ca="1">_xll.BDH("DATA IN Equity","EXTRAORD_ITEMS_ACCOUNTING_CHANGS","FY 2009","FY 2009","Currency=INR","Period=FY","BEST_FPERIOD_OVERRIDE=FY","FILING_STATUS=MR","EQY_CONSOLIDATED=Y","SCALING_FORMAT=MLN","Sort=A","Dates=H","DateFormat=P","Fill=—","Direction=H","UseDPDF=Y")</f>
        <v>#NAME?</v>
      </c>
      <c r="I32" s="13" t="e" cm="1">
        <f t="array" aca="1" ref="I32" ca="1">_xll.BDH("DATA IN Equity","EXTRAORD_ITEMS_ACCOUNTING_CHANGS","FY 2010","FY 2010","Currency=INR","Period=FY","BEST_FPERIOD_OVERRIDE=FY","FILING_STATUS=MR","EQY_CONSOLIDATED=Y","SCALING_FORMAT=MLN","Sort=A","Dates=H","DateFormat=P","Fill=—","Direction=H","UseDPDF=Y")</f>
        <v>#NAME?</v>
      </c>
      <c r="J32" s="13" t="e" cm="1">
        <f t="array" aca="1" ref="J32" ca="1">_xll.BDH("DATA IN Equity","EXTRAORD_ITEMS_ACCOUNTING_CHANGS","FY 2011","FY 2011","Currency=INR","Period=FY","BEST_FPERIOD_OVERRIDE=FY","FILING_STATUS=MR","EQY_CONSOLIDATED=Y","SCALING_FORMAT=MLN","Sort=A","Dates=H","DateFormat=P","Fill=—","Direction=H","UseDPDF=Y")</f>
        <v>#NAME?</v>
      </c>
      <c r="K32" s="13" t="e" cm="1">
        <f t="array" aca="1" ref="K32" ca="1">_xll.BDH("DATA IN Equity","EXTRAORD_ITEMS_ACCOUNTING_CHANGS","FY 2012","FY 2012","Currency=INR","Period=FY","BEST_FPERIOD_OVERRIDE=FY","FILING_STATUS=MR","EQY_CONSOLIDATED=Y","SCALING_FORMAT=MLN","Sort=A","Dates=H","DateFormat=P","Fill=—","Direction=H","UseDPDF=Y")</f>
        <v>#NAME?</v>
      </c>
      <c r="L32" s="13" t="e" cm="1">
        <f t="array" aca="1" ref="L32" ca="1">_xll.BDH("DATA IN Equity","EXTRAORD_ITEMS_ACCOUNTING_CHANGS","FY 2013","FY 2013","Currency=INR","Period=FY","BEST_FPERIOD_OVERRIDE=FY","FILING_STATUS=MR","EQY_CONSOLIDATED=Y","SCALING_FORMAT=MLN","Sort=A","Dates=H","DateFormat=P","Fill=—","Direction=H","UseDPDF=Y")</f>
        <v>#NAME?</v>
      </c>
      <c r="M32" s="13" t="e" cm="1">
        <f t="array" aca="1" ref="M32" ca="1">_xll.BDH("DATA IN Equity","EXTRAORD_ITEMS_ACCOUNTING_CHANGS","FY 2014","FY 2014","Currency=INR","Period=FY","BEST_FPERIOD_OVERRIDE=FY","FILING_STATUS=MR","EQY_CONSOLIDATED=Y","SCALING_FORMAT=MLN","Sort=A","Dates=H","DateFormat=P","Fill=—","Direction=H","UseDPDF=Y")</f>
        <v>#NAME?</v>
      </c>
      <c r="N32" s="13" t="e" cm="1">
        <f t="array" aca="1" ref="N32" ca="1">_xll.BDH("DATA IN Equity","EXTRAORD_ITEMS_ACCOUNTING_CHANGS","FY 2015","FY 2015","Currency=INR","Period=FY","BEST_FPERIOD_OVERRIDE=FY","FILING_STATUS=MR","EQY_CONSOLIDATED=Y","SCALING_FORMAT=MLN","Sort=A","Dates=H","DateFormat=P","Fill=—","Direction=H","UseDPDF=Y")</f>
        <v>#NAME?</v>
      </c>
      <c r="O32" s="13" t="e" cm="1">
        <f t="array" aca="1" ref="O32" ca="1">_xll.BDH("DATA IN Equity","EXTRAORD_ITEMS_ACCOUNTING_CHANGS","FY 2016","FY 2016","Currency=INR","Period=FY","BEST_FPERIOD_OVERRIDE=FY","FILING_STATUS=MR","EQY_CONSOLIDATED=Y","SCALING_FORMAT=MLN","Sort=A","Dates=H","DateFormat=P","Fill=—","Direction=H","UseDPDF=Y")</f>
        <v>#NAME?</v>
      </c>
      <c r="P32" s="13" t="e" cm="1">
        <f t="array" aca="1" ref="P32" ca="1">_xll.BDH("DATA IN Equity","EXTRAORD_ITEMS_ACCOUNTING_CHANGS","FY 2017","FY 2017","Currency=INR","Period=FY","BEST_FPERIOD_OVERRIDE=FY","FILING_STATUS=MR","EQY_CONSOLIDATED=Y","SCALING_FORMAT=MLN","Sort=A","Dates=H","DateFormat=P","Fill=—","Direction=H","UseDPDF=Y")</f>
        <v>#NAME?</v>
      </c>
      <c r="Q32" s="13" t="e" cm="1">
        <f t="array" aca="1" ref="Q32" ca="1">_xll.BDH("DATA IN Equity","EXTRAORD_ITEMS_ACCOUNTING_CHANGS","FY 2018","FY 2018","Currency=INR","Period=FY","BEST_FPERIOD_OVERRIDE=FY","FILING_STATUS=MR","EQY_CONSOLIDATED=Y","SCALING_FORMAT=MLN","Sort=A","Dates=H","DateFormat=P","Fill=—","Direction=H","UseDPDF=Y")</f>
        <v>#NAME?</v>
      </c>
      <c r="R32" s="13" t="e" cm="1">
        <f t="array" aca="1" ref="R32" ca="1">_xll.BDH("DATA IN Equity","EXTRAORD_ITEMS_ACCOUNTING_CHANGS","FY 2019","FY 2019","Currency=INR","Period=FY","BEST_FPERIOD_OVERRIDE=FY","FILING_STATUS=MR","EQY_CONSOLIDATED=Y","SCALING_FORMAT=MLN","Sort=A","Dates=H","DateFormat=P","Fill=—","Direction=H","UseDPDF=Y")</f>
        <v>#NAME?</v>
      </c>
      <c r="S32" s="13" t="e" cm="1">
        <f t="array" aca="1" ref="S32" ca="1">_xll.BDH("DATA IN Equity","EXTRAORD_ITEMS_ACCOUNTING_CHANGS","FY 2020","FY 2020","Currency=INR","Period=FY","BEST_FPERIOD_OVERRIDE=FY","FILING_STATUS=MR","EQY_CONSOLIDATED=Y","SCALING_FORMAT=MLN","Sort=A","Dates=H","DateFormat=P","Fill=—","Direction=H","UseDPDF=Y")</f>
        <v>#NAME?</v>
      </c>
      <c r="T32" s="13" t="e" cm="1">
        <f t="array" aca="1" ref="T32" ca="1">_xll.BDH("DATA IN Equity","EXTRAORD_ITEMS_ACCOUNTING_CHANGS","FY 2021","FY 2021","Currency=INR","Period=FY","BEST_FPERIOD_OVERRIDE=FY","FILING_STATUS=MR","EQY_CONSOLIDATED=Y","SCALING_FORMAT=MLN","Sort=A","Dates=H","DateFormat=P","Fill=—","Direction=H","UseDPDF=Y")</f>
        <v>#NAME?</v>
      </c>
      <c r="U32" s="13" t="e" cm="1">
        <f t="array" aca="1" ref="U32" ca="1">_xll.BDH("DATA IN Equity","EXTRAORD_ITEMS_ACCOUNTING_CHANGS","FY 2022","FY 2022","Currency=INR","Period=FY","BEST_FPERIOD_OVERRIDE=FY","FILING_STATUS=MR","EQY_CONSOLIDATED=Y","SCALING_FORMAT=MLN","Sort=A","Dates=H","DateFormat=P","Fill=—","Direction=H","UseDPDF=Y")</f>
        <v>#NAME?</v>
      </c>
      <c r="V32" s="13" t="e" cm="1">
        <f t="array" aca="1" ref="V32" ca="1">_xll.BDH("DATA IN Equity","EXTRAORD_ITEMS_ACCOUNTING_CHANGS","FY 2023","FY 2023","Currency=INR","Period=FY","BEST_FPERIOD_OVERRIDE=FY","FILING_STATUS=MR","EQY_CONSOLIDATED=Y","SCALING_FORMAT=MLN","Sort=A","Dates=H","DateFormat=P","Fill=—","Direction=H","UseDPDF=Y")</f>
        <v>#NAME?</v>
      </c>
      <c r="W32" s="13" t="e" cm="1">
        <f t="array" aca="1" ref="W32" ca="1">_xll.BDH("DATA IN Equity","EXTRAORD_ITEMS_ACCOUNTING_CHANGS","FY 2024","FY 2024","Currency=INR","Period=FY","BEST_FPERIOD_OVERRIDE=FY","FILING_STATUS=MR","EQY_CONSOLIDATED=Y","SCALING_FORMAT=MLN","Sort=A","Dates=H","DateFormat=P","Fill=—","Direction=H","UseDPDF=Y")</f>
        <v>#NAME?</v>
      </c>
      <c r="X32" s="13" t="e" cm="1">
        <f t="array" aca="1" ref="X32" ca="1">_xll.BDH("DATA IN Equity","EXTRAORD_ITEMS_ACCOUNTING_CHANGS","FY 2025","FY 2025","Currency=INR","Period=FY","BEST_FPERIOD_OVERRIDE=FY","FILING_STATUS=MR","EQY_CONSOLIDATED=Y","SCALING_FORMAT=MLN","Sort=A","Dates=H","DateFormat=P","Fill=—","Direction=H","UseDPDF=Y")</f>
        <v>#NAME?</v>
      </c>
      <c r="Y32" s="16">
        <v>0</v>
      </c>
      <c r="Z32" s="13"/>
      <c r="AA32" s="13"/>
    </row>
    <row r="33" spans="1:27" x14ac:dyDescent="0.2">
      <c r="A33" s="6" t="s">
        <v>170</v>
      </c>
      <c r="B33" s="6" t="s">
        <v>171</v>
      </c>
      <c r="C33" s="19" t="e" cm="1">
        <f t="array" aca="1" ref="C33" ca="1">_xll.BDH("DATA IN Equity","NI_INCLUDING_MINORITY_INT_RATIO","FY 2004","FY 2004","Currency=INR","Period=FY","BEST_FPERIOD_OVERRIDE=FY","FILING_STATUS=MR","EQY_CONSOLIDATED=Y","SCALING_FORMAT=MLN","FA_ADJUSTED=GAAP","Sort=A","Dates=H","DateFormat=P","Fill=—","Direction=H","UseDPDF=Y")</f>
        <v>#NAME?</v>
      </c>
      <c r="D33" s="19" t="e" cm="1">
        <f t="array" aca="1" ref="D33" ca="1">_xll.BDH("DATA IN Equity","NI_INCLUDING_MINORITY_INT_RATIO","FY 2005","FY 2005","Currency=INR","Period=FY","BEST_FPERIOD_OVERRIDE=FY","FILING_STATUS=MR","EQY_CONSOLIDATED=Y","SCALING_FORMAT=MLN","FA_ADJUSTED=GAAP","Sort=A","Dates=H","DateFormat=P","Fill=—","Direction=H","UseDPDF=Y")</f>
        <v>#NAME?</v>
      </c>
      <c r="E33" s="19" t="e" cm="1">
        <f t="array" aca="1" ref="E33" ca="1">_xll.BDH("DATA IN Equity","NI_INCLUDING_MINORITY_INT_RATIO","FY 2006","FY 2006","Currency=INR","Period=FY","BEST_FPERIOD_OVERRIDE=FY","FILING_STATUS=MR","EQY_CONSOLIDATED=Y","SCALING_FORMAT=MLN","FA_ADJUSTED=GAAP","Sort=A","Dates=H","DateFormat=P","Fill=—","Direction=H","UseDPDF=Y")</f>
        <v>#NAME?</v>
      </c>
      <c r="F33" s="19" t="e" cm="1">
        <f t="array" aca="1" ref="F33" ca="1">_xll.BDH("DATA IN Equity","NI_INCLUDING_MINORITY_INT_RATIO","FY 2007","FY 2007","Currency=INR","Period=FY","BEST_FPERIOD_OVERRIDE=FY","FILING_STATUS=MR","EQY_CONSOLIDATED=Y","SCALING_FORMAT=MLN","FA_ADJUSTED=GAAP","Sort=A","Dates=H","DateFormat=P","Fill=—","Direction=H","UseDPDF=Y")</f>
        <v>#NAME?</v>
      </c>
      <c r="G33" s="19" t="e" cm="1">
        <f t="array" aca="1" ref="G33" ca="1">_xll.BDH("DATA IN Equity","NI_INCLUDING_MINORITY_INT_RATIO","FY 2008","FY 2008","Currency=INR","Period=FY","BEST_FPERIOD_OVERRIDE=FY","FILING_STATUS=MR","EQY_CONSOLIDATED=Y","SCALING_FORMAT=MLN","FA_ADJUSTED=GAAP","Sort=A","Dates=H","DateFormat=P","Fill=—","Direction=H","UseDPDF=Y")</f>
        <v>#NAME?</v>
      </c>
      <c r="H33" s="19" t="e" cm="1">
        <f t="array" aca="1" ref="H33" ca="1">_xll.BDH("DATA IN Equity","NI_INCLUDING_MINORITY_INT_RATIO","FY 2009","FY 2009","Currency=INR","Period=FY","BEST_FPERIOD_OVERRIDE=FY","FILING_STATUS=MR","EQY_CONSOLIDATED=Y","SCALING_FORMAT=MLN","FA_ADJUSTED=GAAP","Sort=A","Dates=H","DateFormat=P","Fill=—","Direction=H","UseDPDF=Y")</f>
        <v>#NAME?</v>
      </c>
      <c r="I33" s="19" t="e" cm="1">
        <f t="array" aca="1" ref="I33" ca="1">_xll.BDH("DATA IN Equity","NI_INCLUDING_MINORITY_INT_RATIO","FY 2010","FY 2010","Currency=INR","Period=FY","BEST_FPERIOD_OVERRIDE=FY","FILING_STATUS=MR","EQY_CONSOLIDATED=Y","SCALING_FORMAT=MLN","FA_ADJUSTED=GAAP","Sort=A","Dates=H","DateFormat=P","Fill=—","Direction=H","UseDPDF=Y")</f>
        <v>#NAME?</v>
      </c>
      <c r="J33" s="19" t="e" cm="1">
        <f t="array" aca="1" ref="J33" ca="1">_xll.BDH("DATA IN Equity","NI_INCLUDING_MINORITY_INT_RATIO","FY 2011","FY 2011","Currency=INR","Period=FY","BEST_FPERIOD_OVERRIDE=FY","FILING_STATUS=MR","EQY_CONSOLIDATED=Y","SCALING_FORMAT=MLN","FA_ADJUSTED=GAAP","Sort=A","Dates=H","DateFormat=P","Fill=—","Direction=H","UseDPDF=Y")</f>
        <v>#NAME?</v>
      </c>
      <c r="K33" s="19" t="e" cm="1">
        <f t="array" aca="1" ref="K33" ca="1">_xll.BDH("DATA IN Equity","NI_INCLUDING_MINORITY_INT_RATIO","FY 2012","FY 2012","Currency=INR","Period=FY","BEST_FPERIOD_OVERRIDE=FY","FILING_STATUS=MR","EQY_CONSOLIDATED=Y","SCALING_FORMAT=MLN","FA_ADJUSTED=GAAP","Sort=A","Dates=H","DateFormat=P","Fill=—","Direction=H","UseDPDF=Y")</f>
        <v>#NAME?</v>
      </c>
      <c r="L33" s="19" t="e" cm="1">
        <f t="array" aca="1" ref="L33" ca="1">_xll.BDH("DATA IN Equity","NI_INCLUDING_MINORITY_INT_RATIO","FY 2013","FY 2013","Currency=INR","Period=FY","BEST_FPERIOD_OVERRIDE=FY","FILING_STATUS=MR","EQY_CONSOLIDATED=Y","SCALING_FORMAT=MLN","FA_ADJUSTED=GAAP","Sort=A","Dates=H","DateFormat=P","Fill=—","Direction=H","UseDPDF=Y")</f>
        <v>#NAME?</v>
      </c>
      <c r="M33" s="19" t="e" cm="1">
        <f t="array" aca="1" ref="M33" ca="1">_xll.BDH("DATA IN Equity","NI_INCLUDING_MINORITY_INT_RATIO","FY 2014","FY 2014","Currency=INR","Period=FY","BEST_FPERIOD_OVERRIDE=FY","FILING_STATUS=MR","EQY_CONSOLIDATED=Y","SCALING_FORMAT=MLN","FA_ADJUSTED=GAAP","Sort=A","Dates=H","DateFormat=P","Fill=—","Direction=H","UseDPDF=Y")</f>
        <v>#NAME?</v>
      </c>
      <c r="N33" s="19" t="e" cm="1">
        <f t="array" aca="1" ref="N33" ca="1">_xll.BDH("DATA IN Equity","NI_INCLUDING_MINORITY_INT_RATIO","FY 2015","FY 2015","Currency=INR","Period=FY","BEST_FPERIOD_OVERRIDE=FY","FILING_STATUS=MR","EQY_CONSOLIDATED=Y","SCALING_FORMAT=MLN","FA_ADJUSTED=GAAP","Sort=A","Dates=H","DateFormat=P","Fill=—","Direction=H","UseDPDF=Y")</f>
        <v>#NAME?</v>
      </c>
      <c r="O33" s="19" t="e" cm="1">
        <f t="array" aca="1" ref="O33" ca="1">_xll.BDH("DATA IN Equity","NI_INCLUDING_MINORITY_INT_RATIO","FY 2016","FY 2016","Currency=INR","Period=FY","BEST_FPERIOD_OVERRIDE=FY","FILING_STATUS=MR","EQY_CONSOLIDATED=Y","SCALING_FORMAT=MLN","FA_ADJUSTED=GAAP","Sort=A","Dates=H","DateFormat=P","Fill=—","Direction=H","UseDPDF=Y")</f>
        <v>#NAME?</v>
      </c>
      <c r="P33" s="19" t="e" cm="1">
        <f t="array" aca="1" ref="P33" ca="1">_xll.BDH("DATA IN Equity","NI_INCLUDING_MINORITY_INT_RATIO","FY 2017","FY 2017","Currency=INR","Period=FY","BEST_FPERIOD_OVERRIDE=FY","FILING_STATUS=MR","EQY_CONSOLIDATED=Y","SCALING_FORMAT=MLN","FA_ADJUSTED=GAAP","Sort=A","Dates=H","DateFormat=P","Fill=—","Direction=H","UseDPDF=Y")</f>
        <v>#NAME?</v>
      </c>
      <c r="Q33" s="19" t="e" cm="1">
        <f t="array" aca="1" ref="Q33" ca="1">_xll.BDH("DATA IN Equity","NI_INCLUDING_MINORITY_INT_RATIO","FY 2018","FY 2018","Currency=INR","Period=FY","BEST_FPERIOD_OVERRIDE=FY","FILING_STATUS=MR","EQY_CONSOLIDATED=Y","SCALING_FORMAT=MLN","FA_ADJUSTED=GAAP","Sort=A","Dates=H","DateFormat=P","Fill=—","Direction=H","UseDPDF=Y")</f>
        <v>#NAME?</v>
      </c>
      <c r="R33" s="19" t="e" cm="1">
        <f t="array" aca="1" ref="R33" ca="1">_xll.BDH("DATA IN Equity","NI_INCLUDING_MINORITY_INT_RATIO","FY 2019","FY 2019","Currency=INR","Period=FY","BEST_FPERIOD_OVERRIDE=FY","FILING_STATUS=MR","EQY_CONSOLIDATED=Y","SCALING_FORMAT=MLN","FA_ADJUSTED=GAAP","Sort=A","Dates=H","DateFormat=P","Fill=—","Direction=H","UseDPDF=Y")</f>
        <v>#NAME?</v>
      </c>
      <c r="S33" s="19" t="e" cm="1">
        <f t="array" aca="1" ref="S33" ca="1">_xll.BDH("DATA IN Equity","NI_INCLUDING_MINORITY_INT_RATIO","FY 2020","FY 2020","Currency=INR","Period=FY","BEST_FPERIOD_OVERRIDE=FY","FILING_STATUS=MR","EQY_CONSOLIDATED=Y","SCALING_FORMAT=MLN","FA_ADJUSTED=GAAP","Sort=A","Dates=H","DateFormat=P","Fill=—","Direction=H","UseDPDF=Y")</f>
        <v>#NAME?</v>
      </c>
      <c r="T33" s="19" t="e" cm="1">
        <f t="array" aca="1" ref="T33" ca="1">_xll.BDH("DATA IN Equity","NI_INCLUDING_MINORITY_INT_RATIO","FY 2021","FY 2021","Currency=INR","Period=FY","BEST_FPERIOD_OVERRIDE=FY","FILING_STATUS=MR","EQY_CONSOLIDATED=Y","SCALING_FORMAT=MLN","FA_ADJUSTED=GAAP","Sort=A","Dates=H","DateFormat=P","Fill=—","Direction=H","UseDPDF=Y")</f>
        <v>#NAME?</v>
      </c>
      <c r="U33" s="19" t="e" cm="1">
        <f t="array" aca="1" ref="U33" ca="1">_xll.BDH("DATA IN Equity","NI_INCLUDING_MINORITY_INT_RATIO","FY 2022","FY 2022","Currency=INR","Period=FY","BEST_FPERIOD_OVERRIDE=FY","FILING_STATUS=MR","EQY_CONSOLIDATED=Y","SCALING_FORMAT=MLN","FA_ADJUSTED=GAAP","Sort=A","Dates=H","DateFormat=P","Fill=—","Direction=H","UseDPDF=Y")</f>
        <v>#NAME?</v>
      </c>
      <c r="V33" s="19" t="e" cm="1">
        <f t="array" aca="1" ref="V33" ca="1">_xll.BDH("DATA IN Equity","NI_INCLUDING_MINORITY_INT_RATIO","FY 2023","FY 2023","Currency=INR","Period=FY","BEST_FPERIOD_OVERRIDE=FY","FILING_STATUS=MR","EQY_CONSOLIDATED=Y","SCALING_FORMAT=MLN","FA_ADJUSTED=GAAP","Sort=A","Dates=H","DateFormat=P","Fill=—","Direction=H","UseDPDF=Y")</f>
        <v>#NAME?</v>
      </c>
      <c r="W33" s="19" t="e" cm="1">
        <f t="array" aca="1" ref="W33" ca="1">_xll.BDH("DATA IN Equity","NI_INCLUDING_MINORITY_INT_RATIO","FY 2024","FY 2024","Currency=INR","Period=FY","BEST_FPERIOD_OVERRIDE=FY","FILING_STATUS=MR","EQY_CONSOLIDATED=Y","SCALING_FORMAT=MLN","FA_ADJUSTED=GAAP","Sort=A","Dates=H","DateFormat=P","Fill=—","Direction=H","UseDPDF=Y")</f>
        <v>#NAME?</v>
      </c>
      <c r="X33" s="19" t="e" cm="1">
        <f t="array" aca="1" ref="X33" ca="1">_xll.BDH("DATA IN Equity","NI_INCLUDING_MINORITY_INT_RATIO","FY 2025","FY 2025","Currency=INR","Period=FY","BEST_FPERIOD_OVERRIDE=FY","FILING_STATUS=MR","EQY_CONSOLIDATED=Y","SCALING_FORMAT=MLN","FA_ADJUSTED=GAAP","Sort=A","Dates=H","DateFormat=P","Fill=—","Direction=H","UseDPDF=Y")</f>
        <v>#NAME?</v>
      </c>
      <c r="Y33" s="22">
        <v>1949.6</v>
      </c>
      <c r="Z33" s="19"/>
      <c r="AA33" s="19"/>
    </row>
    <row r="34" spans="1:27" x14ac:dyDescent="0.2">
      <c r="A34" s="10" t="s">
        <v>172</v>
      </c>
      <c r="B34" s="10" t="s">
        <v>173</v>
      </c>
      <c r="C34" s="13" t="e" cm="1">
        <f t="array" aca="1" ref="C34" ca="1">_xll.BDH("DATA IN Equity","MIN_NONCONTROL_INTEREST_CREDITS","FY 2004","FY 2004","Currency=INR","Period=FY","BEST_FPERIOD_OVERRIDE=FY","FILING_STATUS=MR","EQY_CONSOLIDATED=Y","SCALING_FORMAT=MLN","FA_ADJUSTED=GAAP","Sort=A","Dates=H","DateFormat=P","Fill=—","Direction=H","UseDPDF=Y")</f>
        <v>#NAME?</v>
      </c>
      <c r="D34" s="13" t="e" cm="1">
        <f t="array" aca="1" ref="D34" ca="1">_xll.BDH("DATA IN Equity","MIN_NONCONTROL_INTEREST_CREDITS","FY 2005","FY 2005","Currency=INR","Period=FY","BEST_FPERIOD_OVERRIDE=FY","FILING_STATUS=MR","EQY_CONSOLIDATED=Y","SCALING_FORMAT=MLN","FA_ADJUSTED=GAAP","Sort=A","Dates=H","DateFormat=P","Fill=—","Direction=H","UseDPDF=Y")</f>
        <v>#NAME?</v>
      </c>
      <c r="E34" s="13" t="e" cm="1">
        <f t="array" aca="1" ref="E34" ca="1">_xll.BDH("DATA IN Equity","MIN_NONCONTROL_INTEREST_CREDITS","FY 2006","FY 2006","Currency=INR","Period=FY","BEST_FPERIOD_OVERRIDE=FY","FILING_STATUS=MR","EQY_CONSOLIDATED=Y","SCALING_FORMAT=MLN","FA_ADJUSTED=GAAP","Sort=A","Dates=H","DateFormat=P","Fill=—","Direction=H","UseDPDF=Y")</f>
        <v>#NAME?</v>
      </c>
      <c r="F34" s="13" t="e" cm="1">
        <f t="array" aca="1" ref="F34" ca="1">_xll.BDH("DATA IN Equity","MIN_NONCONTROL_INTEREST_CREDITS","FY 2007","FY 2007","Currency=INR","Period=FY","BEST_FPERIOD_OVERRIDE=FY","FILING_STATUS=MR","EQY_CONSOLIDATED=Y","SCALING_FORMAT=MLN","FA_ADJUSTED=GAAP","Sort=A","Dates=H","DateFormat=P","Fill=—","Direction=H","UseDPDF=Y")</f>
        <v>#NAME?</v>
      </c>
      <c r="G34" s="13" t="e" cm="1">
        <f t="array" aca="1" ref="G34" ca="1">_xll.BDH("DATA IN Equity","MIN_NONCONTROL_INTEREST_CREDITS","FY 2008","FY 2008","Currency=INR","Period=FY","BEST_FPERIOD_OVERRIDE=FY","FILING_STATUS=MR","EQY_CONSOLIDATED=Y","SCALING_FORMAT=MLN","FA_ADJUSTED=GAAP","Sort=A","Dates=H","DateFormat=P","Fill=—","Direction=H","UseDPDF=Y")</f>
        <v>#NAME?</v>
      </c>
      <c r="H34" s="13" t="e" cm="1">
        <f t="array" aca="1" ref="H34" ca="1">_xll.BDH("DATA IN Equity","MIN_NONCONTROL_INTEREST_CREDITS","FY 2009","FY 2009","Currency=INR","Period=FY","BEST_FPERIOD_OVERRIDE=FY","FILING_STATUS=MR","EQY_CONSOLIDATED=Y","SCALING_FORMAT=MLN","FA_ADJUSTED=GAAP","Sort=A","Dates=H","DateFormat=P","Fill=—","Direction=H","UseDPDF=Y")</f>
        <v>#NAME?</v>
      </c>
      <c r="I34" s="13" t="e" cm="1">
        <f t="array" aca="1" ref="I34" ca="1">_xll.BDH("DATA IN Equity","MIN_NONCONTROL_INTEREST_CREDITS","FY 2010","FY 2010","Currency=INR","Period=FY","BEST_FPERIOD_OVERRIDE=FY","FILING_STATUS=MR","EQY_CONSOLIDATED=Y","SCALING_FORMAT=MLN","FA_ADJUSTED=GAAP","Sort=A","Dates=H","DateFormat=P","Fill=—","Direction=H","UseDPDF=Y")</f>
        <v>#NAME?</v>
      </c>
      <c r="J34" s="13" t="e" cm="1">
        <f t="array" aca="1" ref="J34" ca="1">_xll.BDH("DATA IN Equity","MIN_NONCONTROL_INTEREST_CREDITS","FY 2011","FY 2011","Currency=INR","Period=FY","BEST_FPERIOD_OVERRIDE=FY","FILING_STATUS=MR","EQY_CONSOLIDATED=Y","SCALING_FORMAT=MLN","FA_ADJUSTED=GAAP","Sort=A","Dates=H","DateFormat=P","Fill=—","Direction=H","UseDPDF=Y")</f>
        <v>#NAME?</v>
      </c>
      <c r="K34" s="13" t="e" cm="1">
        <f t="array" aca="1" ref="K34" ca="1">_xll.BDH("DATA IN Equity","MIN_NONCONTROL_INTEREST_CREDITS","FY 2012","FY 2012","Currency=INR","Period=FY","BEST_FPERIOD_OVERRIDE=FY","FILING_STATUS=MR","EQY_CONSOLIDATED=Y","SCALING_FORMAT=MLN","FA_ADJUSTED=GAAP","Sort=A","Dates=H","DateFormat=P","Fill=—","Direction=H","UseDPDF=Y")</f>
        <v>#NAME?</v>
      </c>
      <c r="L34" s="13" t="e" cm="1">
        <f t="array" aca="1" ref="L34" ca="1">_xll.BDH("DATA IN Equity","MIN_NONCONTROL_INTEREST_CREDITS","FY 2013","FY 2013","Currency=INR","Period=FY","BEST_FPERIOD_OVERRIDE=FY","FILING_STATUS=MR","EQY_CONSOLIDATED=Y","SCALING_FORMAT=MLN","FA_ADJUSTED=GAAP","Sort=A","Dates=H","DateFormat=P","Fill=—","Direction=H","UseDPDF=Y")</f>
        <v>#NAME?</v>
      </c>
      <c r="M34" s="13" t="e" cm="1">
        <f t="array" aca="1" ref="M34" ca="1">_xll.BDH("DATA IN Equity","MIN_NONCONTROL_INTEREST_CREDITS","FY 2014","FY 2014","Currency=INR","Period=FY","BEST_FPERIOD_OVERRIDE=FY","FILING_STATUS=MR","EQY_CONSOLIDATED=Y","SCALING_FORMAT=MLN","FA_ADJUSTED=GAAP","Sort=A","Dates=H","DateFormat=P","Fill=—","Direction=H","UseDPDF=Y")</f>
        <v>#NAME?</v>
      </c>
      <c r="N34" s="13" t="e" cm="1">
        <f t="array" aca="1" ref="N34" ca="1">_xll.BDH("DATA IN Equity","MIN_NONCONTROL_INTEREST_CREDITS","FY 2015","FY 2015","Currency=INR","Period=FY","BEST_FPERIOD_OVERRIDE=FY","FILING_STATUS=MR","EQY_CONSOLIDATED=Y","SCALING_FORMAT=MLN","FA_ADJUSTED=GAAP","Sort=A","Dates=H","DateFormat=P","Fill=—","Direction=H","UseDPDF=Y")</f>
        <v>#NAME?</v>
      </c>
      <c r="O34" s="13" t="e" cm="1">
        <f t="array" aca="1" ref="O34" ca="1">_xll.BDH("DATA IN Equity","MIN_NONCONTROL_INTEREST_CREDITS","FY 2016","FY 2016","Currency=INR","Period=FY","BEST_FPERIOD_OVERRIDE=FY","FILING_STATUS=MR","EQY_CONSOLIDATED=Y","SCALING_FORMAT=MLN","FA_ADJUSTED=GAAP","Sort=A","Dates=H","DateFormat=P","Fill=—","Direction=H","UseDPDF=Y")</f>
        <v>#NAME?</v>
      </c>
      <c r="P34" s="13" t="e" cm="1">
        <f t="array" aca="1" ref="P34" ca="1">_xll.BDH("DATA IN Equity","MIN_NONCONTROL_INTEREST_CREDITS","FY 2017","FY 2017","Currency=INR","Period=FY","BEST_FPERIOD_OVERRIDE=FY","FILING_STATUS=MR","EQY_CONSOLIDATED=Y","SCALING_FORMAT=MLN","FA_ADJUSTED=GAAP","Sort=A","Dates=H","DateFormat=P","Fill=—","Direction=H","UseDPDF=Y")</f>
        <v>#NAME?</v>
      </c>
      <c r="Q34" s="13" t="e" cm="1">
        <f t="array" aca="1" ref="Q34" ca="1">_xll.BDH("DATA IN Equity","MIN_NONCONTROL_INTEREST_CREDITS","FY 2018","FY 2018","Currency=INR","Period=FY","BEST_FPERIOD_OVERRIDE=FY","FILING_STATUS=MR","EQY_CONSOLIDATED=Y","SCALING_FORMAT=MLN","FA_ADJUSTED=GAAP","Sort=A","Dates=H","DateFormat=P","Fill=—","Direction=H","UseDPDF=Y")</f>
        <v>#NAME?</v>
      </c>
      <c r="R34" s="13" t="e" cm="1">
        <f t="array" aca="1" ref="R34" ca="1">_xll.BDH("DATA IN Equity","MIN_NONCONTROL_INTEREST_CREDITS","FY 2019","FY 2019","Currency=INR","Period=FY","BEST_FPERIOD_OVERRIDE=FY","FILING_STATUS=MR","EQY_CONSOLIDATED=Y","SCALING_FORMAT=MLN","FA_ADJUSTED=GAAP","Sort=A","Dates=H","DateFormat=P","Fill=—","Direction=H","UseDPDF=Y")</f>
        <v>#NAME?</v>
      </c>
      <c r="S34" s="13" t="e" cm="1">
        <f t="array" aca="1" ref="S34" ca="1">_xll.BDH("DATA IN Equity","MIN_NONCONTROL_INTEREST_CREDITS","FY 2020","FY 2020","Currency=INR","Period=FY","BEST_FPERIOD_OVERRIDE=FY","FILING_STATUS=MR","EQY_CONSOLIDATED=Y","SCALING_FORMAT=MLN","FA_ADJUSTED=GAAP","Sort=A","Dates=H","DateFormat=P","Fill=—","Direction=H","UseDPDF=Y")</f>
        <v>#NAME?</v>
      </c>
      <c r="T34" s="13" t="e" cm="1">
        <f t="array" aca="1" ref="T34" ca="1">_xll.BDH("DATA IN Equity","MIN_NONCONTROL_INTEREST_CREDITS","FY 2021","FY 2021","Currency=INR","Period=FY","BEST_FPERIOD_OVERRIDE=FY","FILING_STATUS=MR","EQY_CONSOLIDATED=Y","SCALING_FORMAT=MLN","FA_ADJUSTED=GAAP","Sort=A","Dates=H","DateFormat=P","Fill=—","Direction=H","UseDPDF=Y")</f>
        <v>#NAME?</v>
      </c>
      <c r="U34" s="13" t="e" cm="1">
        <f t="array" aca="1" ref="U34" ca="1">_xll.BDH("DATA IN Equity","MIN_NONCONTROL_INTEREST_CREDITS","FY 2022","FY 2022","Currency=INR","Period=FY","BEST_FPERIOD_OVERRIDE=FY","FILING_STATUS=MR","EQY_CONSOLIDATED=Y","SCALING_FORMAT=MLN","FA_ADJUSTED=GAAP","Sort=A","Dates=H","DateFormat=P","Fill=—","Direction=H","UseDPDF=Y")</f>
        <v>#NAME?</v>
      </c>
      <c r="V34" s="13" t="e" cm="1">
        <f t="array" aca="1" ref="V34" ca="1">_xll.BDH("DATA IN Equity","MIN_NONCONTROL_INTEREST_CREDITS","FY 2023","FY 2023","Currency=INR","Period=FY","BEST_FPERIOD_OVERRIDE=FY","FILING_STATUS=MR","EQY_CONSOLIDATED=Y","SCALING_FORMAT=MLN","FA_ADJUSTED=GAAP","Sort=A","Dates=H","DateFormat=P","Fill=—","Direction=H","UseDPDF=Y")</f>
        <v>#NAME?</v>
      </c>
      <c r="W34" s="13" t="e" cm="1">
        <f t="array" aca="1" ref="W34" ca="1">_xll.BDH("DATA IN Equity","MIN_NONCONTROL_INTEREST_CREDITS","FY 2024","FY 2024","Currency=INR","Period=FY","BEST_FPERIOD_OVERRIDE=FY","FILING_STATUS=MR","EQY_CONSOLIDATED=Y","SCALING_FORMAT=MLN","FA_ADJUSTED=GAAP","Sort=A","Dates=H","DateFormat=P","Fill=—","Direction=H","UseDPDF=Y")</f>
        <v>#NAME?</v>
      </c>
      <c r="X34" s="13" t="e" cm="1">
        <f t="array" aca="1" ref="X34" ca="1">_xll.BDH("DATA IN Equity","MIN_NONCONTROL_INTEREST_CREDITS","FY 2025","FY 2025","Currency=INR","Period=FY","BEST_FPERIOD_OVERRIDE=FY","FILING_STATUS=MR","EQY_CONSOLIDATED=Y","SCALING_FORMAT=MLN","FA_ADJUSTED=GAAP","Sort=A","Dates=H","DateFormat=P","Fill=—","Direction=H","UseDPDF=Y")</f>
        <v>#NAME?</v>
      </c>
      <c r="Y34" s="16">
        <v>1</v>
      </c>
      <c r="Z34" s="13"/>
      <c r="AA34" s="13"/>
    </row>
    <row r="35" spans="1:27" x14ac:dyDescent="0.2">
      <c r="A35" s="6" t="s">
        <v>174</v>
      </c>
      <c r="B35" s="6" t="s">
        <v>175</v>
      </c>
      <c r="C35" s="19" t="e" cm="1">
        <f t="array" aca="1" ref="C35" ca="1">_xll.BDH("DATA IN Equity","NET_INCOME","FY 2004","FY 2004","Currency=INR","Period=FY","BEST_FPERIOD_OVERRIDE=FY","FILING_STATUS=MR","EQY_CONSOLIDATED=Y","SCALING_FORMAT=MLN","FA_ADJUSTED=GAAP","Sort=A","Dates=H","DateFormat=P","Fill=—","Direction=H","UseDPDF=Y")</f>
        <v>#NAME?</v>
      </c>
      <c r="D35" s="19" t="e" cm="1">
        <f t="array" aca="1" ref="D35" ca="1">_xll.BDH("DATA IN Equity","NET_INCOME","FY 2005","FY 2005","Currency=INR","Period=FY","BEST_FPERIOD_OVERRIDE=FY","FILING_STATUS=MR","EQY_CONSOLIDATED=Y","SCALING_FORMAT=MLN","FA_ADJUSTED=GAAP","Sort=A","Dates=H","DateFormat=P","Fill=—","Direction=H","UseDPDF=Y")</f>
        <v>#NAME?</v>
      </c>
      <c r="E35" s="19" t="e" cm="1">
        <f t="array" aca="1" ref="E35" ca="1">_xll.BDH("DATA IN Equity","NET_INCOME","FY 2006","FY 2006","Currency=INR","Period=FY","BEST_FPERIOD_OVERRIDE=FY","FILING_STATUS=MR","EQY_CONSOLIDATED=Y","SCALING_FORMAT=MLN","FA_ADJUSTED=GAAP","Sort=A","Dates=H","DateFormat=P","Fill=—","Direction=H","UseDPDF=Y")</f>
        <v>#NAME?</v>
      </c>
      <c r="F35" s="19" t="e" cm="1">
        <f t="array" aca="1" ref="F35" ca="1">_xll.BDH("DATA IN Equity","NET_INCOME","FY 2007","FY 2007","Currency=INR","Period=FY","BEST_FPERIOD_OVERRIDE=FY","FILING_STATUS=MR","EQY_CONSOLIDATED=Y","SCALING_FORMAT=MLN","FA_ADJUSTED=GAAP","Sort=A","Dates=H","DateFormat=P","Fill=—","Direction=H","UseDPDF=Y")</f>
        <v>#NAME?</v>
      </c>
      <c r="G35" s="19" t="e" cm="1">
        <f t="array" aca="1" ref="G35" ca="1">_xll.BDH("DATA IN Equity","NET_INCOME","FY 2008","FY 2008","Currency=INR","Period=FY","BEST_FPERIOD_OVERRIDE=FY","FILING_STATUS=MR","EQY_CONSOLIDATED=Y","SCALING_FORMAT=MLN","FA_ADJUSTED=GAAP","Sort=A","Dates=H","DateFormat=P","Fill=—","Direction=H","UseDPDF=Y")</f>
        <v>#NAME?</v>
      </c>
      <c r="H35" s="19" t="e" cm="1">
        <f t="array" aca="1" ref="H35" ca="1">_xll.BDH("DATA IN Equity","NET_INCOME","FY 2009","FY 2009","Currency=INR","Period=FY","BEST_FPERIOD_OVERRIDE=FY","FILING_STATUS=MR","EQY_CONSOLIDATED=Y","SCALING_FORMAT=MLN","FA_ADJUSTED=GAAP","Sort=A","Dates=H","DateFormat=P","Fill=—","Direction=H","UseDPDF=Y")</f>
        <v>#NAME?</v>
      </c>
      <c r="I35" s="19" t="e" cm="1">
        <f t="array" aca="1" ref="I35" ca="1">_xll.BDH("DATA IN Equity","NET_INCOME","FY 2010","FY 2010","Currency=INR","Period=FY","BEST_FPERIOD_OVERRIDE=FY","FILING_STATUS=MR","EQY_CONSOLIDATED=Y","SCALING_FORMAT=MLN","FA_ADJUSTED=GAAP","Sort=A","Dates=H","DateFormat=P","Fill=—","Direction=H","UseDPDF=Y")</f>
        <v>#NAME?</v>
      </c>
      <c r="J35" s="19" t="e" cm="1">
        <f t="array" aca="1" ref="J35" ca="1">_xll.BDH("DATA IN Equity","NET_INCOME","FY 2011","FY 2011","Currency=INR","Period=FY","BEST_FPERIOD_OVERRIDE=FY","FILING_STATUS=MR","EQY_CONSOLIDATED=Y","SCALING_FORMAT=MLN","FA_ADJUSTED=GAAP","Sort=A","Dates=H","DateFormat=P","Fill=—","Direction=H","UseDPDF=Y")</f>
        <v>#NAME?</v>
      </c>
      <c r="K35" s="19" t="e" cm="1">
        <f t="array" aca="1" ref="K35" ca="1">_xll.BDH("DATA IN Equity","NET_INCOME","FY 2012","FY 2012","Currency=INR","Period=FY","BEST_FPERIOD_OVERRIDE=FY","FILING_STATUS=MR","EQY_CONSOLIDATED=Y","SCALING_FORMAT=MLN","FA_ADJUSTED=GAAP","Sort=A","Dates=H","DateFormat=P","Fill=—","Direction=H","UseDPDF=Y")</f>
        <v>#NAME?</v>
      </c>
      <c r="L35" s="19" t="e" cm="1">
        <f t="array" aca="1" ref="L35" ca="1">_xll.BDH("DATA IN Equity","NET_INCOME","FY 2013","FY 2013","Currency=INR","Period=FY","BEST_FPERIOD_OVERRIDE=FY","FILING_STATUS=MR","EQY_CONSOLIDATED=Y","SCALING_FORMAT=MLN","FA_ADJUSTED=GAAP","Sort=A","Dates=H","DateFormat=P","Fill=—","Direction=H","UseDPDF=Y")</f>
        <v>#NAME?</v>
      </c>
      <c r="M35" s="19" t="e" cm="1">
        <f t="array" aca="1" ref="M35" ca="1">_xll.BDH("DATA IN Equity","NET_INCOME","FY 2014","FY 2014","Currency=INR","Period=FY","BEST_FPERIOD_OVERRIDE=FY","FILING_STATUS=MR","EQY_CONSOLIDATED=Y","SCALING_FORMAT=MLN","FA_ADJUSTED=GAAP","Sort=A","Dates=H","DateFormat=P","Fill=—","Direction=H","UseDPDF=Y")</f>
        <v>#NAME?</v>
      </c>
      <c r="N35" s="19" t="e" cm="1">
        <f t="array" aca="1" ref="N35" ca="1">_xll.BDH("DATA IN Equity","NET_INCOME","FY 2015","FY 2015","Currency=INR","Period=FY","BEST_FPERIOD_OVERRIDE=FY","FILING_STATUS=MR","EQY_CONSOLIDATED=Y","SCALING_FORMAT=MLN","FA_ADJUSTED=GAAP","Sort=A","Dates=H","DateFormat=P","Fill=—","Direction=H","UseDPDF=Y")</f>
        <v>#NAME?</v>
      </c>
      <c r="O35" s="19" t="e" cm="1">
        <f t="array" aca="1" ref="O35" ca="1">_xll.BDH("DATA IN Equity","NET_INCOME","FY 2016","FY 2016","Currency=INR","Period=FY","BEST_FPERIOD_OVERRIDE=FY","FILING_STATUS=MR","EQY_CONSOLIDATED=Y","SCALING_FORMAT=MLN","FA_ADJUSTED=GAAP","Sort=A","Dates=H","DateFormat=P","Fill=—","Direction=H","UseDPDF=Y")</f>
        <v>#NAME?</v>
      </c>
      <c r="P35" s="19" t="e" cm="1">
        <f t="array" aca="1" ref="P35" ca="1">_xll.BDH("DATA IN Equity","NET_INCOME","FY 2017","FY 2017","Currency=INR","Period=FY","BEST_FPERIOD_OVERRIDE=FY","FILING_STATUS=MR","EQY_CONSOLIDATED=Y","SCALING_FORMAT=MLN","FA_ADJUSTED=GAAP","Sort=A","Dates=H","DateFormat=P","Fill=—","Direction=H","UseDPDF=Y")</f>
        <v>#NAME?</v>
      </c>
      <c r="Q35" s="19" t="e" cm="1">
        <f t="array" aca="1" ref="Q35" ca="1">_xll.BDH("DATA IN Equity","NET_INCOME","FY 2018","FY 2018","Currency=INR","Period=FY","BEST_FPERIOD_OVERRIDE=FY","FILING_STATUS=MR","EQY_CONSOLIDATED=Y","SCALING_FORMAT=MLN","FA_ADJUSTED=GAAP","Sort=A","Dates=H","DateFormat=P","Fill=—","Direction=H","UseDPDF=Y")</f>
        <v>#NAME?</v>
      </c>
      <c r="R35" s="19" t="e" cm="1">
        <f t="array" aca="1" ref="R35" ca="1">_xll.BDH("DATA IN Equity","NET_INCOME","FY 2019","FY 2019","Currency=INR","Period=FY","BEST_FPERIOD_OVERRIDE=FY","FILING_STATUS=MR","EQY_CONSOLIDATED=Y","SCALING_FORMAT=MLN","FA_ADJUSTED=GAAP","Sort=A","Dates=H","DateFormat=P","Fill=—","Direction=H","UseDPDF=Y")</f>
        <v>#NAME?</v>
      </c>
      <c r="S35" s="19" t="e" cm="1">
        <f t="array" aca="1" ref="S35" ca="1">_xll.BDH("DATA IN Equity","NET_INCOME","FY 2020","FY 2020","Currency=INR","Period=FY","BEST_FPERIOD_OVERRIDE=FY","FILING_STATUS=MR","EQY_CONSOLIDATED=Y","SCALING_FORMAT=MLN","FA_ADJUSTED=GAAP","Sort=A","Dates=H","DateFormat=P","Fill=—","Direction=H","UseDPDF=Y")</f>
        <v>#NAME?</v>
      </c>
      <c r="T35" s="19" t="e" cm="1">
        <f t="array" aca="1" ref="T35" ca="1">_xll.BDH("DATA IN Equity","NET_INCOME","FY 2021","FY 2021","Currency=INR","Period=FY","BEST_FPERIOD_OVERRIDE=FY","FILING_STATUS=MR","EQY_CONSOLIDATED=Y","SCALING_FORMAT=MLN","FA_ADJUSTED=GAAP","Sort=A","Dates=H","DateFormat=P","Fill=—","Direction=H","UseDPDF=Y")</f>
        <v>#NAME?</v>
      </c>
      <c r="U35" s="19" t="e" cm="1">
        <f t="array" aca="1" ref="U35" ca="1">_xll.BDH("DATA IN Equity","NET_INCOME","FY 2022","FY 2022","Currency=INR","Period=FY","BEST_FPERIOD_OVERRIDE=FY","FILING_STATUS=MR","EQY_CONSOLIDATED=Y","SCALING_FORMAT=MLN","FA_ADJUSTED=GAAP","Sort=A","Dates=H","DateFormat=P","Fill=—","Direction=H","UseDPDF=Y")</f>
        <v>#NAME?</v>
      </c>
      <c r="V35" s="19" t="e" cm="1">
        <f t="array" aca="1" ref="V35" ca="1">_xll.BDH("DATA IN Equity","NET_INCOME","FY 2023","FY 2023","Currency=INR","Period=FY","BEST_FPERIOD_OVERRIDE=FY","FILING_STATUS=MR","EQY_CONSOLIDATED=Y","SCALING_FORMAT=MLN","FA_ADJUSTED=GAAP","Sort=A","Dates=H","DateFormat=P","Fill=—","Direction=H","UseDPDF=Y")</f>
        <v>#NAME?</v>
      </c>
      <c r="W35" s="19" t="e" cm="1">
        <f t="array" aca="1" ref="W35" ca="1">_xll.BDH("DATA IN Equity","NET_INCOME","FY 2024","FY 2024","Currency=INR","Period=FY","BEST_FPERIOD_OVERRIDE=FY","FILING_STATUS=MR","EQY_CONSOLIDATED=Y","SCALING_FORMAT=MLN","FA_ADJUSTED=GAAP","Sort=A","Dates=H","DateFormat=P","Fill=—","Direction=H","UseDPDF=Y")</f>
        <v>#NAME?</v>
      </c>
      <c r="X35" s="19" t="e" cm="1">
        <f t="array" aca="1" ref="X35" ca="1">_xll.BDH("DATA IN Equity","NET_INCOME","FY 2025","FY 2025","Currency=INR","Period=FY","BEST_FPERIOD_OVERRIDE=FY","FILING_STATUS=MR","EQY_CONSOLIDATED=Y","SCALING_FORMAT=MLN","FA_ADJUSTED=GAAP","Sort=A","Dates=H","DateFormat=P","Fill=—","Direction=H","UseDPDF=Y")</f>
        <v>#NAME?</v>
      </c>
      <c r="Y35" s="22">
        <v>1948.6</v>
      </c>
      <c r="Z35" s="19">
        <v>2500</v>
      </c>
      <c r="AA35" s="19">
        <v>2900</v>
      </c>
    </row>
    <row r="36" spans="1:27" x14ac:dyDescent="0.2">
      <c r="A36" s="10" t="s">
        <v>176</v>
      </c>
      <c r="B36" s="10" t="s">
        <v>177</v>
      </c>
      <c r="C36" s="13" t="e" cm="1">
        <f t="array" aca="1" ref="C36" ca="1">_xll.BDH("DATA IN Equity","IS_TOT_CASH_PFD_DVD","FY 2004","FY 2004","Currency=INR","Period=FY","BEST_FPERIOD_OVERRIDE=FY","FILING_STATUS=MR","EQY_CONSOLIDATED=Y","SCALING_FORMAT=MLN","Sort=A","Dates=H","DateFormat=P","Fill=—","Direction=H","UseDPDF=Y")</f>
        <v>#NAME?</v>
      </c>
      <c r="D36" s="13" t="e" cm="1">
        <f t="array" aca="1" ref="D36" ca="1">_xll.BDH("DATA IN Equity","IS_TOT_CASH_PFD_DVD","FY 2005","FY 2005","Currency=INR","Period=FY","BEST_FPERIOD_OVERRIDE=FY","FILING_STATUS=MR","EQY_CONSOLIDATED=Y","SCALING_FORMAT=MLN","Sort=A","Dates=H","DateFormat=P","Fill=—","Direction=H","UseDPDF=Y")</f>
        <v>#NAME?</v>
      </c>
      <c r="E36" s="13" t="e" cm="1">
        <f t="array" aca="1" ref="E36" ca="1">_xll.BDH("DATA IN Equity","IS_TOT_CASH_PFD_DVD","FY 2006","FY 2006","Currency=INR","Period=FY","BEST_FPERIOD_OVERRIDE=FY","FILING_STATUS=MR","EQY_CONSOLIDATED=Y","SCALING_FORMAT=MLN","Sort=A","Dates=H","DateFormat=P","Fill=—","Direction=H","UseDPDF=Y")</f>
        <v>#NAME?</v>
      </c>
      <c r="F36" s="13" t="e" cm="1">
        <f t="array" aca="1" ref="F36" ca="1">_xll.BDH("DATA IN Equity","IS_TOT_CASH_PFD_DVD","FY 2007","FY 2007","Currency=INR","Period=FY","BEST_FPERIOD_OVERRIDE=FY","FILING_STATUS=MR","EQY_CONSOLIDATED=Y","SCALING_FORMAT=MLN","Sort=A","Dates=H","DateFormat=P","Fill=—","Direction=H","UseDPDF=Y")</f>
        <v>#NAME?</v>
      </c>
      <c r="G36" s="13" t="e" cm="1">
        <f t="array" aca="1" ref="G36" ca="1">_xll.BDH("DATA IN Equity","IS_TOT_CASH_PFD_DVD","FY 2008","FY 2008","Currency=INR","Period=FY","BEST_FPERIOD_OVERRIDE=FY","FILING_STATUS=MR","EQY_CONSOLIDATED=Y","SCALING_FORMAT=MLN","Sort=A","Dates=H","DateFormat=P","Fill=—","Direction=H","UseDPDF=Y")</f>
        <v>#NAME?</v>
      </c>
      <c r="H36" s="13" t="e" cm="1">
        <f t="array" aca="1" ref="H36" ca="1">_xll.BDH("DATA IN Equity","IS_TOT_CASH_PFD_DVD","FY 2009","FY 2009","Currency=INR","Period=FY","BEST_FPERIOD_OVERRIDE=FY","FILING_STATUS=MR","EQY_CONSOLIDATED=Y","SCALING_FORMAT=MLN","Sort=A","Dates=H","DateFormat=P","Fill=—","Direction=H","UseDPDF=Y")</f>
        <v>#NAME?</v>
      </c>
      <c r="I36" s="13" t="e" cm="1">
        <f t="array" aca="1" ref="I36" ca="1">_xll.BDH("DATA IN Equity","IS_TOT_CASH_PFD_DVD","FY 2010","FY 2010","Currency=INR","Period=FY","BEST_FPERIOD_OVERRIDE=FY","FILING_STATUS=MR","EQY_CONSOLIDATED=Y","SCALING_FORMAT=MLN","Sort=A","Dates=H","DateFormat=P","Fill=—","Direction=H","UseDPDF=Y")</f>
        <v>#NAME?</v>
      </c>
      <c r="J36" s="13" t="e" cm="1">
        <f t="array" aca="1" ref="J36" ca="1">_xll.BDH("DATA IN Equity","IS_TOT_CASH_PFD_DVD","FY 2011","FY 2011","Currency=INR","Period=FY","BEST_FPERIOD_OVERRIDE=FY","FILING_STATUS=MR","EQY_CONSOLIDATED=Y","SCALING_FORMAT=MLN","Sort=A","Dates=H","DateFormat=P","Fill=—","Direction=H","UseDPDF=Y")</f>
        <v>#NAME?</v>
      </c>
      <c r="K36" s="13" t="e" cm="1">
        <f t="array" aca="1" ref="K36" ca="1">_xll.BDH("DATA IN Equity","IS_TOT_CASH_PFD_DVD","FY 2012","FY 2012","Currency=INR","Period=FY","BEST_FPERIOD_OVERRIDE=FY","FILING_STATUS=MR","EQY_CONSOLIDATED=Y","SCALING_FORMAT=MLN","Sort=A","Dates=H","DateFormat=P","Fill=—","Direction=H","UseDPDF=Y")</f>
        <v>#NAME?</v>
      </c>
      <c r="L36" s="13" t="e" cm="1">
        <f t="array" aca="1" ref="L36" ca="1">_xll.BDH("DATA IN Equity","IS_TOT_CASH_PFD_DVD","FY 2013","FY 2013","Currency=INR","Period=FY","BEST_FPERIOD_OVERRIDE=FY","FILING_STATUS=MR","EQY_CONSOLIDATED=Y","SCALING_FORMAT=MLN","Sort=A","Dates=H","DateFormat=P","Fill=—","Direction=H","UseDPDF=Y")</f>
        <v>#NAME?</v>
      </c>
      <c r="M36" s="13" t="e" cm="1">
        <f t="array" aca="1" ref="M36" ca="1">_xll.BDH("DATA IN Equity","IS_TOT_CASH_PFD_DVD","FY 2014","FY 2014","Currency=INR","Period=FY","BEST_FPERIOD_OVERRIDE=FY","FILING_STATUS=MR","EQY_CONSOLIDATED=Y","SCALING_FORMAT=MLN","Sort=A","Dates=H","DateFormat=P","Fill=—","Direction=H","UseDPDF=Y")</f>
        <v>#NAME?</v>
      </c>
      <c r="N36" s="13" t="e" cm="1">
        <f t="array" aca="1" ref="N36" ca="1">_xll.BDH("DATA IN Equity","IS_TOT_CASH_PFD_DVD","FY 2015","FY 2015","Currency=INR","Period=FY","BEST_FPERIOD_OVERRIDE=FY","FILING_STATUS=MR","EQY_CONSOLIDATED=Y","SCALING_FORMAT=MLN","Sort=A","Dates=H","DateFormat=P","Fill=—","Direction=H","UseDPDF=Y")</f>
        <v>#NAME?</v>
      </c>
      <c r="O36" s="13" t="e" cm="1">
        <f t="array" aca="1" ref="O36" ca="1">_xll.BDH("DATA IN Equity","IS_TOT_CASH_PFD_DVD","FY 2016","FY 2016","Currency=INR","Period=FY","BEST_FPERIOD_OVERRIDE=FY","FILING_STATUS=MR","EQY_CONSOLIDATED=Y","SCALING_FORMAT=MLN","Sort=A","Dates=H","DateFormat=P","Fill=—","Direction=H","UseDPDF=Y")</f>
        <v>#NAME?</v>
      </c>
      <c r="P36" s="13" t="e" cm="1">
        <f t="array" aca="1" ref="P36" ca="1">_xll.BDH("DATA IN Equity","IS_TOT_CASH_PFD_DVD","FY 2017","FY 2017","Currency=INR","Period=FY","BEST_FPERIOD_OVERRIDE=FY","FILING_STATUS=MR","EQY_CONSOLIDATED=Y","SCALING_FORMAT=MLN","Sort=A","Dates=H","DateFormat=P","Fill=—","Direction=H","UseDPDF=Y")</f>
        <v>#NAME?</v>
      </c>
      <c r="Q36" s="13" t="e" cm="1">
        <f t="array" aca="1" ref="Q36" ca="1">_xll.BDH("DATA IN Equity","IS_TOT_CASH_PFD_DVD","FY 2018","FY 2018","Currency=INR","Period=FY","BEST_FPERIOD_OVERRIDE=FY","FILING_STATUS=MR","EQY_CONSOLIDATED=Y","SCALING_FORMAT=MLN","Sort=A","Dates=H","DateFormat=P","Fill=—","Direction=H","UseDPDF=Y")</f>
        <v>#NAME?</v>
      </c>
      <c r="R36" s="13" t="e" cm="1">
        <f t="array" aca="1" ref="R36" ca="1">_xll.BDH("DATA IN Equity","IS_TOT_CASH_PFD_DVD","FY 2019","FY 2019","Currency=INR","Period=FY","BEST_FPERIOD_OVERRIDE=FY","FILING_STATUS=MR","EQY_CONSOLIDATED=Y","SCALING_FORMAT=MLN","Sort=A","Dates=H","DateFormat=P","Fill=—","Direction=H","UseDPDF=Y")</f>
        <v>#NAME?</v>
      </c>
      <c r="S36" s="13" t="e" cm="1">
        <f t="array" aca="1" ref="S36" ca="1">_xll.BDH("DATA IN Equity","IS_TOT_CASH_PFD_DVD","FY 2020","FY 2020","Currency=INR","Period=FY","BEST_FPERIOD_OVERRIDE=FY","FILING_STATUS=MR","EQY_CONSOLIDATED=Y","SCALING_FORMAT=MLN","Sort=A","Dates=H","DateFormat=P","Fill=—","Direction=H","UseDPDF=Y")</f>
        <v>#NAME?</v>
      </c>
      <c r="T36" s="13" t="e" cm="1">
        <f t="array" aca="1" ref="T36" ca="1">_xll.BDH("DATA IN Equity","IS_TOT_CASH_PFD_DVD","FY 2021","FY 2021","Currency=INR","Period=FY","BEST_FPERIOD_OVERRIDE=FY","FILING_STATUS=MR","EQY_CONSOLIDATED=Y","SCALING_FORMAT=MLN","Sort=A","Dates=H","DateFormat=P","Fill=—","Direction=H","UseDPDF=Y")</f>
        <v>#NAME?</v>
      </c>
      <c r="U36" s="13" t="e" cm="1">
        <f t="array" aca="1" ref="U36" ca="1">_xll.BDH("DATA IN Equity","IS_TOT_CASH_PFD_DVD","FY 2022","FY 2022","Currency=INR","Period=FY","BEST_FPERIOD_OVERRIDE=FY","FILING_STATUS=MR","EQY_CONSOLIDATED=Y","SCALING_FORMAT=MLN","Sort=A","Dates=H","DateFormat=P","Fill=—","Direction=H","UseDPDF=Y")</f>
        <v>#NAME?</v>
      </c>
      <c r="V36" s="13" t="e" cm="1">
        <f t="array" aca="1" ref="V36" ca="1">_xll.BDH("DATA IN Equity","IS_TOT_CASH_PFD_DVD","FY 2023","FY 2023","Currency=INR","Period=FY","BEST_FPERIOD_OVERRIDE=FY","FILING_STATUS=MR","EQY_CONSOLIDATED=Y","SCALING_FORMAT=MLN","Sort=A","Dates=H","DateFormat=P","Fill=—","Direction=H","UseDPDF=Y")</f>
        <v>#NAME?</v>
      </c>
      <c r="W36" s="13" t="e" cm="1">
        <f t="array" aca="1" ref="W36" ca="1">_xll.BDH("DATA IN Equity","IS_TOT_CASH_PFD_DVD","FY 2024","FY 2024","Currency=INR","Period=FY","BEST_FPERIOD_OVERRIDE=FY","FILING_STATUS=MR","EQY_CONSOLIDATED=Y","SCALING_FORMAT=MLN","Sort=A","Dates=H","DateFormat=P","Fill=—","Direction=H","UseDPDF=Y")</f>
        <v>#NAME?</v>
      </c>
      <c r="X36" s="13" t="e" cm="1">
        <f t="array" aca="1" ref="X36" ca="1">_xll.BDH("DATA IN Equity","IS_TOT_CASH_PFD_DVD","FY 2025","FY 2025","Currency=INR","Period=FY","BEST_FPERIOD_OVERRIDE=FY","FILING_STATUS=MR","EQY_CONSOLIDATED=Y","SCALING_FORMAT=MLN","Sort=A","Dates=H","DateFormat=P","Fill=—","Direction=H","UseDPDF=Y")</f>
        <v>#NAME?</v>
      </c>
      <c r="Y36" s="16">
        <v>0</v>
      </c>
      <c r="Z36" s="13"/>
      <c r="AA36" s="13"/>
    </row>
    <row r="37" spans="1:27" x14ac:dyDescent="0.2">
      <c r="A37" s="10" t="s">
        <v>178</v>
      </c>
      <c r="B37" s="10" t="s">
        <v>179</v>
      </c>
      <c r="C37" s="13" t="e" cm="1">
        <f t="array" aca="1" ref="C37" ca="1">_xll.BDH("DATA IN Equity","OTHER_ADJUSTMENTS","FY 2004","FY 2004","Currency=INR","Period=FY","BEST_FPERIOD_OVERRIDE=FY","FILING_STATUS=MR","EQY_CONSOLIDATED=Y","SCALING_FORMAT=MLN","Sort=A","Dates=H","DateFormat=P","Fill=—","Direction=H","UseDPDF=Y")</f>
        <v>#NAME?</v>
      </c>
      <c r="D37" s="13" t="e" cm="1">
        <f t="array" aca="1" ref="D37" ca="1">_xll.BDH("DATA IN Equity","OTHER_ADJUSTMENTS","FY 2005","FY 2005","Currency=INR","Period=FY","BEST_FPERIOD_OVERRIDE=FY","FILING_STATUS=MR","EQY_CONSOLIDATED=Y","SCALING_FORMAT=MLN","Sort=A","Dates=H","DateFormat=P","Fill=—","Direction=H","UseDPDF=Y")</f>
        <v>#NAME?</v>
      </c>
      <c r="E37" s="13" t="e" cm="1">
        <f t="array" aca="1" ref="E37" ca="1">_xll.BDH("DATA IN Equity","OTHER_ADJUSTMENTS","FY 2006","FY 2006","Currency=INR","Period=FY","BEST_FPERIOD_OVERRIDE=FY","FILING_STATUS=MR","EQY_CONSOLIDATED=Y","SCALING_FORMAT=MLN","Sort=A","Dates=H","DateFormat=P","Fill=—","Direction=H","UseDPDF=Y")</f>
        <v>#NAME?</v>
      </c>
      <c r="F37" s="13" t="e" cm="1">
        <f t="array" aca="1" ref="F37" ca="1">_xll.BDH("DATA IN Equity","OTHER_ADJUSTMENTS","FY 2007","FY 2007","Currency=INR","Period=FY","BEST_FPERIOD_OVERRIDE=FY","FILING_STATUS=MR","EQY_CONSOLIDATED=Y","SCALING_FORMAT=MLN","Sort=A","Dates=H","DateFormat=P","Fill=—","Direction=H","UseDPDF=Y")</f>
        <v>#NAME?</v>
      </c>
      <c r="G37" s="13" t="e" cm="1">
        <f t="array" aca="1" ref="G37" ca="1">_xll.BDH("DATA IN Equity","OTHER_ADJUSTMENTS","FY 2008","FY 2008","Currency=INR","Period=FY","BEST_FPERIOD_OVERRIDE=FY","FILING_STATUS=MR","EQY_CONSOLIDATED=Y","SCALING_FORMAT=MLN","Sort=A","Dates=H","DateFormat=P","Fill=—","Direction=H","UseDPDF=Y")</f>
        <v>#NAME?</v>
      </c>
      <c r="H37" s="13" t="e" cm="1">
        <f t="array" aca="1" ref="H37" ca="1">_xll.BDH("DATA IN Equity","OTHER_ADJUSTMENTS","FY 2009","FY 2009","Currency=INR","Period=FY","BEST_FPERIOD_OVERRIDE=FY","FILING_STATUS=MR","EQY_CONSOLIDATED=Y","SCALING_FORMAT=MLN","Sort=A","Dates=H","DateFormat=P","Fill=—","Direction=H","UseDPDF=Y")</f>
        <v>#NAME?</v>
      </c>
      <c r="I37" s="13" t="e" cm="1">
        <f t="array" aca="1" ref="I37" ca="1">_xll.BDH("DATA IN Equity","OTHER_ADJUSTMENTS","FY 2010","FY 2010","Currency=INR","Period=FY","BEST_FPERIOD_OVERRIDE=FY","FILING_STATUS=MR","EQY_CONSOLIDATED=Y","SCALING_FORMAT=MLN","Sort=A","Dates=H","DateFormat=P","Fill=—","Direction=H","UseDPDF=Y")</f>
        <v>#NAME?</v>
      </c>
      <c r="J37" s="13" t="e" cm="1">
        <f t="array" aca="1" ref="J37" ca="1">_xll.BDH("DATA IN Equity","OTHER_ADJUSTMENTS","FY 2011","FY 2011","Currency=INR","Period=FY","BEST_FPERIOD_OVERRIDE=FY","FILING_STATUS=MR","EQY_CONSOLIDATED=Y","SCALING_FORMAT=MLN","Sort=A","Dates=H","DateFormat=P","Fill=—","Direction=H","UseDPDF=Y")</f>
        <v>#NAME?</v>
      </c>
      <c r="K37" s="13" t="e" cm="1">
        <f t="array" aca="1" ref="K37" ca="1">_xll.BDH("DATA IN Equity","OTHER_ADJUSTMENTS","FY 2012","FY 2012","Currency=INR","Period=FY","BEST_FPERIOD_OVERRIDE=FY","FILING_STATUS=MR","EQY_CONSOLIDATED=Y","SCALING_FORMAT=MLN","Sort=A","Dates=H","DateFormat=P","Fill=—","Direction=H","UseDPDF=Y")</f>
        <v>#NAME?</v>
      </c>
      <c r="L37" s="13" t="e" cm="1">
        <f t="array" aca="1" ref="L37" ca="1">_xll.BDH("DATA IN Equity","OTHER_ADJUSTMENTS","FY 2013","FY 2013","Currency=INR","Period=FY","BEST_FPERIOD_OVERRIDE=FY","FILING_STATUS=MR","EQY_CONSOLIDATED=Y","SCALING_FORMAT=MLN","Sort=A","Dates=H","DateFormat=P","Fill=—","Direction=H","UseDPDF=Y")</f>
        <v>#NAME?</v>
      </c>
      <c r="M37" s="13" t="e" cm="1">
        <f t="array" aca="1" ref="M37" ca="1">_xll.BDH("DATA IN Equity","OTHER_ADJUSTMENTS","FY 2014","FY 2014","Currency=INR","Period=FY","BEST_FPERIOD_OVERRIDE=FY","FILING_STATUS=MR","EQY_CONSOLIDATED=Y","SCALING_FORMAT=MLN","Sort=A","Dates=H","DateFormat=P","Fill=—","Direction=H","UseDPDF=Y")</f>
        <v>#NAME?</v>
      </c>
      <c r="N37" s="13" t="e" cm="1">
        <f t="array" aca="1" ref="N37" ca="1">_xll.BDH("DATA IN Equity","OTHER_ADJUSTMENTS","FY 2015","FY 2015","Currency=INR","Period=FY","BEST_FPERIOD_OVERRIDE=FY","FILING_STATUS=MR","EQY_CONSOLIDATED=Y","SCALING_FORMAT=MLN","Sort=A","Dates=H","DateFormat=P","Fill=—","Direction=H","UseDPDF=Y")</f>
        <v>#NAME?</v>
      </c>
      <c r="O37" s="13" t="e" cm="1">
        <f t="array" aca="1" ref="O37" ca="1">_xll.BDH("DATA IN Equity","OTHER_ADJUSTMENTS","FY 2016","FY 2016","Currency=INR","Period=FY","BEST_FPERIOD_OVERRIDE=FY","FILING_STATUS=MR","EQY_CONSOLIDATED=Y","SCALING_FORMAT=MLN","Sort=A","Dates=H","DateFormat=P","Fill=—","Direction=H","UseDPDF=Y")</f>
        <v>#NAME?</v>
      </c>
      <c r="P37" s="13" t="e" cm="1">
        <f t="array" aca="1" ref="P37" ca="1">_xll.BDH("DATA IN Equity","OTHER_ADJUSTMENTS","FY 2017","FY 2017","Currency=INR","Period=FY","BEST_FPERIOD_OVERRIDE=FY","FILING_STATUS=MR","EQY_CONSOLIDATED=Y","SCALING_FORMAT=MLN","Sort=A","Dates=H","DateFormat=P","Fill=—","Direction=H","UseDPDF=Y")</f>
        <v>#NAME?</v>
      </c>
      <c r="Q37" s="13" t="e" cm="1">
        <f t="array" aca="1" ref="Q37" ca="1">_xll.BDH("DATA IN Equity","OTHER_ADJUSTMENTS","FY 2018","FY 2018","Currency=INR","Period=FY","BEST_FPERIOD_OVERRIDE=FY","FILING_STATUS=MR","EQY_CONSOLIDATED=Y","SCALING_FORMAT=MLN","Sort=A","Dates=H","DateFormat=P","Fill=—","Direction=H","UseDPDF=Y")</f>
        <v>#NAME?</v>
      </c>
      <c r="R37" s="13" t="e" cm="1">
        <f t="array" aca="1" ref="R37" ca="1">_xll.BDH("DATA IN Equity","OTHER_ADJUSTMENTS","FY 2019","FY 2019","Currency=INR","Period=FY","BEST_FPERIOD_OVERRIDE=FY","FILING_STATUS=MR","EQY_CONSOLIDATED=Y","SCALING_FORMAT=MLN","Sort=A","Dates=H","DateFormat=P","Fill=—","Direction=H","UseDPDF=Y")</f>
        <v>#NAME?</v>
      </c>
      <c r="S37" s="13" t="e" cm="1">
        <f t="array" aca="1" ref="S37" ca="1">_xll.BDH("DATA IN Equity","OTHER_ADJUSTMENTS","FY 2020","FY 2020","Currency=INR","Period=FY","BEST_FPERIOD_OVERRIDE=FY","FILING_STATUS=MR","EQY_CONSOLIDATED=Y","SCALING_FORMAT=MLN","Sort=A","Dates=H","DateFormat=P","Fill=—","Direction=H","UseDPDF=Y")</f>
        <v>#NAME?</v>
      </c>
      <c r="T37" s="13" t="e" cm="1">
        <f t="array" aca="1" ref="T37" ca="1">_xll.BDH("DATA IN Equity","OTHER_ADJUSTMENTS","FY 2021","FY 2021","Currency=INR","Period=FY","BEST_FPERIOD_OVERRIDE=FY","FILING_STATUS=MR","EQY_CONSOLIDATED=Y","SCALING_FORMAT=MLN","Sort=A","Dates=H","DateFormat=P","Fill=—","Direction=H","UseDPDF=Y")</f>
        <v>#NAME?</v>
      </c>
      <c r="U37" s="13" t="e" cm="1">
        <f t="array" aca="1" ref="U37" ca="1">_xll.BDH("DATA IN Equity","OTHER_ADJUSTMENTS","FY 2022","FY 2022","Currency=INR","Period=FY","BEST_FPERIOD_OVERRIDE=FY","FILING_STATUS=MR","EQY_CONSOLIDATED=Y","SCALING_FORMAT=MLN","Sort=A","Dates=H","DateFormat=P","Fill=—","Direction=H","UseDPDF=Y")</f>
        <v>#NAME?</v>
      </c>
      <c r="V37" s="13" t="e" cm="1">
        <f t="array" aca="1" ref="V37" ca="1">_xll.BDH("DATA IN Equity","OTHER_ADJUSTMENTS","FY 2023","FY 2023","Currency=INR","Period=FY","BEST_FPERIOD_OVERRIDE=FY","FILING_STATUS=MR","EQY_CONSOLIDATED=Y","SCALING_FORMAT=MLN","Sort=A","Dates=H","DateFormat=P","Fill=—","Direction=H","UseDPDF=Y")</f>
        <v>#NAME?</v>
      </c>
      <c r="W37" s="13" t="e" cm="1">
        <f t="array" aca="1" ref="W37" ca="1">_xll.BDH("DATA IN Equity","OTHER_ADJUSTMENTS","FY 2024","FY 2024","Currency=INR","Period=FY","BEST_FPERIOD_OVERRIDE=FY","FILING_STATUS=MR","EQY_CONSOLIDATED=Y","SCALING_FORMAT=MLN","Sort=A","Dates=H","DateFormat=P","Fill=—","Direction=H","UseDPDF=Y")</f>
        <v>#NAME?</v>
      </c>
      <c r="X37" s="13" t="e" cm="1">
        <f t="array" aca="1" ref="X37" ca="1">_xll.BDH("DATA IN Equity","OTHER_ADJUSTMENTS","FY 2025","FY 2025","Currency=INR","Period=FY","BEST_FPERIOD_OVERRIDE=FY","FILING_STATUS=MR","EQY_CONSOLIDATED=Y","SCALING_FORMAT=MLN","Sort=A","Dates=H","DateFormat=P","Fill=—","Direction=H","UseDPDF=Y")</f>
        <v>#NAME?</v>
      </c>
      <c r="Y37" s="16">
        <v>0</v>
      </c>
      <c r="Z37" s="13"/>
      <c r="AA37" s="13"/>
    </row>
    <row r="38" spans="1:27" x14ac:dyDescent="0.2">
      <c r="A38" s="6" t="s">
        <v>180</v>
      </c>
      <c r="B38" s="6" t="s">
        <v>181</v>
      </c>
      <c r="C38" s="19" t="e" cm="1">
        <f t="array" aca="1" ref="C38" ca="1">_xll.BDH("DATA IN Equity","EARN_FOR_COMMON","FY 2004","FY 2004","Currency=INR","Period=FY","BEST_FPERIOD_OVERRIDE=FY","FILING_STATUS=MR","EQY_CONSOLIDATED=Y","SCALING_FORMAT=MLN","FA_ADJUSTED=GAAP","Sort=A","Dates=H","DateFormat=P","Fill=—","Direction=H","UseDPDF=Y")</f>
        <v>#NAME?</v>
      </c>
      <c r="D38" s="19" t="e" cm="1">
        <f t="array" aca="1" ref="D38" ca="1">_xll.BDH("DATA IN Equity","EARN_FOR_COMMON","FY 2005","FY 2005","Currency=INR","Period=FY","BEST_FPERIOD_OVERRIDE=FY","FILING_STATUS=MR","EQY_CONSOLIDATED=Y","SCALING_FORMAT=MLN","FA_ADJUSTED=GAAP","Sort=A","Dates=H","DateFormat=P","Fill=—","Direction=H","UseDPDF=Y")</f>
        <v>#NAME?</v>
      </c>
      <c r="E38" s="19" t="e" cm="1">
        <f t="array" aca="1" ref="E38" ca="1">_xll.BDH("DATA IN Equity","EARN_FOR_COMMON","FY 2006","FY 2006","Currency=INR","Period=FY","BEST_FPERIOD_OVERRIDE=FY","FILING_STATUS=MR","EQY_CONSOLIDATED=Y","SCALING_FORMAT=MLN","FA_ADJUSTED=GAAP","Sort=A","Dates=H","DateFormat=P","Fill=—","Direction=H","UseDPDF=Y")</f>
        <v>#NAME?</v>
      </c>
      <c r="F38" s="19" t="e" cm="1">
        <f t="array" aca="1" ref="F38" ca="1">_xll.BDH("DATA IN Equity","EARN_FOR_COMMON","FY 2007","FY 2007","Currency=INR","Period=FY","BEST_FPERIOD_OVERRIDE=FY","FILING_STATUS=MR","EQY_CONSOLIDATED=Y","SCALING_FORMAT=MLN","FA_ADJUSTED=GAAP","Sort=A","Dates=H","DateFormat=P","Fill=—","Direction=H","UseDPDF=Y")</f>
        <v>#NAME?</v>
      </c>
      <c r="G38" s="19" t="e" cm="1">
        <f t="array" aca="1" ref="G38" ca="1">_xll.BDH("DATA IN Equity","EARN_FOR_COMMON","FY 2008","FY 2008","Currency=INR","Period=FY","BEST_FPERIOD_OVERRIDE=FY","FILING_STATUS=MR","EQY_CONSOLIDATED=Y","SCALING_FORMAT=MLN","FA_ADJUSTED=GAAP","Sort=A","Dates=H","DateFormat=P","Fill=—","Direction=H","UseDPDF=Y")</f>
        <v>#NAME?</v>
      </c>
      <c r="H38" s="19" t="e" cm="1">
        <f t="array" aca="1" ref="H38" ca="1">_xll.BDH("DATA IN Equity","EARN_FOR_COMMON","FY 2009","FY 2009","Currency=INR","Period=FY","BEST_FPERIOD_OVERRIDE=FY","FILING_STATUS=MR","EQY_CONSOLIDATED=Y","SCALING_FORMAT=MLN","FA_ADJUSTED=GAAP","Sort=A","Dates=H","DateFormat=P","Fill=—","Direction=H","UseDPDF=Y")</f>
        <v>#NAME?</v>
      </c>
      <c r="I38" s="19" t="e" cm="1">
        <f t="array" aca="1" ref="I38" ca="1">_xll.BDH("DATA IN Equity","EARN_FOR_COMMON","FY 2010","FY 2010","Currency=INR","Period=FY","BEST_FPERIOD_OVERRIDE=FY","FILING_STATUS=MR","EQY_CONSOLIDATED=Y","SCALING_FORMAT=MLN","FA_ADJUSTED=GAAP","Sort=A","Dates=H","DateFormat=P","Fill=—","Direction=H","UseDPDF=Y")</f>
        <v>#NAME?</v>
      </c>
      <c r="J38" s="19" t="e" cm="1">
        <f t="array" aca="1" ref="J38" ca="1">_xll.BDH("DATA IN Equity","EARN_FOR_COMMON","FY 2011","FY 2011","Currency=INR","Period=FY","BEST_FPERIOD_OVERRIDE=FY","FILING_STATUS=MR","EQY_CONSOLIDATED=Y","SCALING_FORMAT=MLN","FA_ADJUSTED=GAAP","Sort=A","Dates=H","DateFormat=P","Fill=—","Direction=H","UseDPDF=Y")</f>
        <v>#NAME?</v>
      </c>
      <c r="K38" s="19" t="e" cm="1">
        <f t="array" aca="1" ref="K38" ca="1">_xll.BDH("DATA IN Equity","EARN_FOR_COMMON","FY 2012","FY 2012","Currency=INR","Period=FY","BEST_FPERIOD_OVERRIDE=FY","FILING_STATUS=MR","EQY_CONSOLIDATED=Y","SCALING_FORMAT=MLN","FA_ADJUSTED=GAAP","Sort=A","Dates=H","DateFormat=P","Fill=—","Direction=H","UseDPDF=Y")</f>
        <v>#NAME?</v>
      </c>
      <c r="L38" s="19" t="e" cm="1">
        <f t="array" aca="1" ref="L38" ca="1">_xll.BDH("DATA IN Equity","EARN_FOR_COMMON","FY 2013","FY 2013","Currency=INR","Period=FY","BEST_FPERIOD_OVERRIDE=FY","FILING_STATUS=MR","EQY_CONSOLIDATED=Y","SCALING_FORMAT=MLN","FA_ADJUSTED=GAAP","Sort=A","Dates=H","DateFormat=P","Fill=—","Direction=H","UseDPDF=Y")</f>
        <v>#NAME?</v>
      </c>
      <c r="M38" s="19" t="e" cm="1">
        <f t="array" aca="1" ref="M38" ca="1">_xll.BDH("DATA IN Equity","EARN_FOR_COMMON","FY 2014","FY 2014","Currency=INR","Period=FY","BEST_FPERIOD_OVERRIDE=FY","FILING_STATUS=MR","EQY_CONSOLIDATED=Y","SCALING_FORMAT=MLN","FA_ADJUSTED=GAAP","Sort=A","Dates=H","DateFormat=P","Fill=—","Direction=H","UseDPDF=Y")</f>
        <v>#NAME?</v>
      </c>
      <c r="N38" s="19" t="e" cm="1">
        <f t="array" aca="1" ref="N38" ca="1">_xll.BDH("DATA IN Equity","EARN_FOR_COMMON","FY 2015","FY 2015","Currency=INR","Period=FY","BEST_FPERIOD_OVERRIDE=FY","FILING_STATUS=MR","EQY_CONSOLIDATED=Y","SCALING_FORMAT=MLN","FA_ADJUSTED=GAAP","Sort=A","Dates=H","DateFormat=P","Fill=—","Direction=H","UseDPDF=Y")</f>
        <v>#NAME?</v>
      </c>
      <c r="O38" s="19" t="e" cm="1">
        <f t="array" aca="1" ref="O38" ca="1">_xll.BDH("DATA IN Equity","EARN_FOR_COMMON","FY 2016","FY 2016","Currency=INR","Period=FY","BEST_FPERIOD_OVERRIDE=FY","FILING_STATUS=MR","EQY_CONSOLIDATED=Y","SCALING_FORMAT=MLN","FA_ADJUSTED=GAAP","Sort=A","Dates=H","DateFormat=P","Fill=—","Direction=H","UseDPDF=Y")</f>
        <v>#NAME?</v>
      </c>
      <c r="P38" s="19" t="e" cm="1">
        <f t="array" aca="1" ref="P38" ca="1">_xll.BDH("DATA IN Equity","EARN_FOR_COMMON","FY 2017","FY 2017","Currency=INR","Period=FY","BEST_FPERIOD_OVERRIDE=FY","FILING_STATUS=MR","EQY_CONSOLIDATED=Y","SCALING_FORMAT=MLN","FA_ADJUSTED=GAAP","Sort=A","Dates=H","DateFormat=P","Fill=—","Direction=H","UseDPDF=Y")</f>
        <v>#NAME?</v>
      </c>
      <c r="Q38" s="19" t="e" cm="1">
        <f t="array" aca="1" ref="Q38" ca="1">_xll.BDH("DATA IN Equity","EARN_FOR_COMMON","FY 2018","FY 2018","Currency=INR","Period=FY","BEST_FPERIOD_OVERRIDE=FY","FILING_STATUS=MR","EQY_CONSOLIDATED=Y","SCALING_FORMAT=MLN","FA_ADJUSTED=GAAP","Sort=A","Dates=H","DateFormat=P","Fill=—","Direction=H","UseDPDF=Y")</f>
        <v>#NAME?</v>
      </c>
      <c r="R38" s="19" t="e" cm="1">
        <f t="array" aca="1" ref="R38" ca="1">_xll.BDH("DATA IN Equity","EARN_FOR_COMMON","FY 2019","FY 2019","Currency=INR","Period=FY","BEST_FPERIOD_OVERRIDE=FY","FILING_STATUS=MR","EQY_CONSOLIDATED=Y","SCALING_FORMAT=MLN","FA_ADJUSTED=GAAP","Sort=A","Dates=H","DateFormat=P","Fill=—","Direction=H","UseDPDF=Y")</f>
        <v>#NAME?</v>
      </c>
      <c r="S38" s="19" t="e" cm="1">
        <f t="array" aca="1" ref="S38" ca="1">_xll.BDH("DATA IN Equity","EARN_FOR_COMMON","FY 2020","FY 2020","Currency=INR","Period=FY","BEST_FPERIOD_OVERRIDE=FY","FILING_STATUS=MR","EQY_CONSOLIDATED=Y","SCALING_FORMAT=MLN","FA_ADJUSTED=GAAP","Sort=A","Dates=H","DateFormat=P","Fill=—","Direction=H","UseDPDF=Y")</f>
        <v>#NAME?</v>
      </c>
      <c r="T38" s="19" t="e" cm="1">
        <f t="array" aca="1" ref="T38" ca="1">_xll.BDH("DATA IN Equity","EARN_FOR_COMMON","FY 2021","FY 2021","Currency=INR","Period=FY","BEST_FPERIOD_OVERRIDE=FY","FILING_STATUS=MR","EQY_CONSOLIDATED=Y","SCALING_FORMAT=MLN","FA_ADJUSTED=GAAP","Sort=A","Dates=H","DateFormat=P","Fill=—","Direction=H","UseDPDF=Y")</f>
        <v>#NAME?</v>
      </c>
      <c r="U38" s="19" t="e" cm="1">
        <f t="array" aca="1" ref="U38" ca="1">_xll.BDH("DATA IN Equity","EARN_FOR_COMMON","FY 2022","FY 2022","Currency=INR","Period=FY","BEST_FPERIOD_OVERRIDE=FY","FILING_STATUS=MR","EQY_CONSOLIDATED=Y","SCALING_FORMAT=MLN","FA_ADJUSTED=GAAP","Sort=A","Dates=H","DateFormat=P","Fill=—","Direction=H","UseDPDF=Y")</f>
        <v>#NAME?</v>
      </c>
      <c r="V38" s="19" t="e" cm="1">
        <f t="array" aca="1" ref="V38" ca="1">_xll.BDH("DATA IN Equity","EARN_FOR_COMMON","FY 2023","FY 2023","Currency=INR","Period=FY","BEST_FPERIOD_OVERRIDE=FY","FILING_STATUS=MR","EQY_CONSOLIDATED=Y","SCALING_FORMAT=MLN","FA_ADJUSTED=GAAP","Sort=A","Dates=H","DateFormat=P","Fill=—","Direction=H","UseDPDF=Y")</f>
        <v>#NAME?</v>
      </c>
      <c r="W38" s="19" t="e" cm="1">
        <f t="array" aca="1" ref="W38" ca="1">_xll.BDH("DATA IN Equity","EARN_FOR_COMMON","FY 2024","FY 2024","Currency=INR","Period=FY","BEST_FPERIOD_OVERRIDE=FY","FILING_STATUS=MR","EQY_CONSOLIDATED=Y","SCALING_FORMAT=MLN","FA_ADJUSTED=GAAP","Sort=A","Dates=H","DateFormat=P","Fill=—","Direction=H","UseDPDF=Y")</f>
        <v>#NAME?</v>
      </c>
      <c r="X38" s="19" t="e" cm="1">
        <f t="array" aca="1" ref="X38" ca="1">_xll.BDH("DATA IN Equity","EARN_FOR_COMMON","FY 2025","FY 2025","Currency=INR","Period=FY","BEST_FPERIOD_OVERRIDE=FY","FILING_STATUS=MR","EQY_CONSOLIDATED=Y","SCALING_FORMAT=MLN","FA_ADJUSTED=GAAP","Sort=A","Dates=H","DateFormat=P","Fill=—","Direction=H","UseDPDF=Y")</f>
        <v>#NAME?</v>
      </c>
      <c r="Y38" s="22">
        <v>1948.6</v>
      </c>
      <c r="Z38" s="19">
        <v>2500</v>
      </c>
      <c r="AA38" s="19">
        <v>2900</v>
      </c>
    </row>
    <row r="39" spans="1:27" x14ac:dyDescent="0.2">
      <c r="A39" s="6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1"/>
      <c r="Z39" s="18"/>
      <c r="AA39" s="18"/>
    </row>
    <row r="40" spans="1:27" x14ac:dyDescent="0.2">
      <c r="A40" s="6" t="s">
        <v>182</v>
      </c>
      <c r="B40" s="6" t="s">
        <v>181</v>
      </c>
      <c r="C40" s="19" t="e" cm="1">
        <f t="array" aca="1" ref="C40" ca="1">_xll.BDH("DATA IN Equity","EARN_FOR_COMMON","FY 2004","FY 2004","Currency=INR","Period=FY","BEST_FPERIOD_OVERRIDE=FY","FILING_STATUS=MR","EQY_CONSOLIDATED=Y","SCALING_FORMAT=MLN","FA_ADJUSTED=Adjusted","Sort=A","Dates=H","DateFormat=P","Fill=—","Direction=H","UseDPDF=Y")</f>
        <v>#NAME?</v>
      </c>
      <c r="D40" s="19" t="e" cm="1">
        <f t="array" aca="1" ref="D40" ca="1">_xll.BDH("DATA IN Equity","EARN_FOR_COMMON","FY 2005","FY 2005","Currency=INR","Period=FY","BEST_FPERIOD_OVERRIDE=FY","FILING_STATUS=MR","EQY_CONSOLIDATED=Y","SCALING_FORMAT=MLN","FA_ADJUSTED=Adjusted","Sort=A","Dates=H","DateFormat=P","Fill=—","Direction=H","UseDPDF=Y")</f>
        <v>#NAME?</v>
      </c>
      <c r="E40" s="19" t="e" cm="1">
        <f t="array" aca="1" ref="E40" ca="1">_xll.BDH("DATA IN Equity","EARN_FOR_COMMON","FY 2006","FY 2006","Currency=INR","Period=FY","BEST_FPERIOD_OVERRIDE=FY","FILING_STATUS=MR","EQY_CONSOLIDATED=Y","SCALING_FORMAT=MLN","FA_ADJUSTED=Adjusted","Sort=A","Dates=H","DateFormat=P","Fill=—","Direction=H","UseDPDF=Y")</f>
        <v>#NAME?</v>
      </c>
      <c r="F40" s="19" t="e" cm="1">
        <f t="array" aca="1" ref="F40" ca="1">_xll.BDH("DATA IN Equity","EARN_FOR_COMMON","FY 2007","FY 2007","Currency=INR","Period=FY","BEST_FPERIOD_OVERRIDE=FY","FILING_STATUS=MR","EQY_CONSOLIDATED=Y","SCALING_FORMAT=MLN","FA_ADJUSTED=Adjusted","Sort=A","Dates=H","DateFormat=P","Fill=—","Direction=H","UseDPDF=Y")</f>
        <v>#NAME?</v>
      </c>
      <c r="G40" s="19" t="e" cm="1">
        <f t="array" aca="1" ref="G40" ca="1">_xll.BDH("DATA IN Equity","EARN_FOR_COMMON","FY 2008","FY 2008","Currency=INR","Period=FY","BEST_FPERIOD_OVERRIDE=FY","FILING_STATUS=MR","EQY_CONSOLIDATED=Y","SCALING_FORMAT=MLN","FA_ADJUSTED=Adjusted","Sort=A","Dates=H","DateFormat=P","Fill=—","Direction=H","UseDPDF=Y")</f>
        <v>#NAME?</v>
      </c>
      <c r="H40" s="19" t="e" cm="1">
        <f t="array" aca="1" ref="H40" ca="1">_xll.BDH("DATA IN Equity","EARN_FOR_COMMON","FY 2009","FY 2009","Currency=INR","Period=FY","BEST_FPERIOD_OVERRIDE=FY","FILING_STATUS=MR","EQY_CONSOLIDATED=Y","SCALING_FORMAT=MLN","FA_ADJUSTED=Adjusted","Sort=A","Dates=H","DateFormat=P","Fill=—","Direction=H","UseDPDF=Y")</f>
        <v>#NAME?</v>
      </c>
      <c r="I40" s="19" t="e" cm="1">
        <f t="array" aca="1" ref="I40" ca="1">_xll.BDH("DATA IN Equity","EARN_FOR_COMMON","FY 2010","FY 2010","Currency=INR","Period=FY","BEST_FPERIOD_OVERRIDE=FY","FILING_STATUS=MR","EQY_CONSOLIDATED=Y","SCALING_FORMAT=MLN","FA_ADJUSTED=Adjusted","Sort=A","Dates=H","DateFormat=P","Fill=—","Direction=H","UseDPDF=Y")</f>
        <v>#NAME?</v>
      </c>
      <c r="J40" s="19" t="e" cm="1">
        <f t="array" aca="1" ref="J40" ca="1">_xll.BDH("DATA IN Equity","EARN_FOR_COMMON","FY 2011","FY 2011","Currency=INR","Period=FY","BEST_FPERIOD_OVERRIDE=FY","FILING_STATUS=MR","EQY_CONSOLIDATED=Y","SCALING_FORMAT=MLN","FA_ADJUSTED=Adjusted","Sort=A","Dates=H","DateFormat=P","Fill=—","Direction=H","UseDPDF=Y")</f>
        <v>#NAME?</v>
      </c>
      <c r="K40" s="19" t="e" cm="1">
        <f t="array" aca="1" ref="K40" ca="1">_xll.BDH("DATA IN Equity","EARN_FOR_COMMON","FY 2012","FY 2012","Currency=INR","Period=FY","BEST_FPERIOD_OVERRIDE=FY","FILING_STATUS=MR","EQY_CONSOLIDATED=Y","SCALING_FORMAT=MLN","FA_ADJUSTED=Adjusted","Sort=A","Dates=H","DateFormat=P","Fill=—","Direction=H","UseDPDF=Y")</f>
        <v>#NAME?</v>
      </c>
      <c r="L40" s="19" t="e" cm="1">
        <f t="array" aca="1" ref="L40" ca="1">_xll.BDH("DATA IN Equity","EARN_FOR_COMMON","FY 2013","FY 2013","Currency=INR","Period=FY","BEST_FPERIOD_OVERRIDE=FY","FILING_STATUS=MR","EQY_CONSOLIDATED=Y","SCALING_FORMAT=MLN","FA_ADJUSTED=Adjusted","Sort=A","Dates=H","DateFormat=P","Fill=—","Direction=H","UseDPDF=Y")</f>
        <v>#NAME?</v>
      </c>
      <c r="M40" s="19" t="e" cm="1">
        <f t="array" aca="1" ref="M40" ca="1">_xll.BDH("DATA IN Equity","EARN_FOR_COMMON","FY 2014","FY 2014","Currency=INR","Period=FY","BEST_FPERIOD_OVERRIDE=FY","FILING_STATUS=MR","EQY_CONSOLIDATED=Y","SCALING_FORMAT=MLN","FA_ADJUSTED=Adjusted","Sort=A","Dates=H","DateFormat=P","Fill=—","Direction=H","UseDPDF=Y")</f>
        <v>#NAME?</v>
      </c>
      <c r="N40" s="19" t="e" cm="1">
        <f t="array" aca="1" ref="N40" ca="1">_xll.BDH("DATA IN Equity","EARN_FOR_COMMON","FY 2015","FY 2015","Currency=INR","Period=FY","BEST_FPERIOD_OVERRIDE=FY","FILING_STATUS=MR","EQY_CONSOLIDATED=Y","SCALING_FORMAT=MLN","FA_ADJUSTED=Adjusted","Sort=A","Dates=H","DateFormat=P","Fill=—","Direction=H","UseDPDF=Y")</f>
        <v>#NAME?</v>
      </c>
      <c r="O40" s="19" t="e" cm="1">
        <f t="array" aca="1" ref="O40" ca="1">_xll.BDH("DATA IN Equity","EARN_FOR_COMMON","FY 2016","FY 2016","Currency=INR","Period=FY","BEST_FPERIOD_OVERRIDE=FY","FILING_STATUS=MR","EQY_CONSOLIDATED=Y","SCALING_FORMAT=MLN","FA_ADJUSTED=Adjusted","Sort=A","Dates=H","DateFormat=P","Fill=—","Direction=H","UseDPDF=Y")</f>
        <v>#NAME?</v>
      </c>
      <c r="P40" s="19" t="e" cm="1">
        <f t="array" aca="1" ref="P40" ca="1">_xll.BDH("DATA IN Equity","EARN_FOR_COMMON","FY 2017","FY 2017","Currency=INR","Period=FY","BEST_FPERIOD_OVERRIDE=FY","FILING_STATUS=MR","EQY_CONSOLIDATED=Y","SCALING_FORMAT=MLN","FA_ADJUSTED=Adjusted","Sort=A","Dates=H","DateFormat=P","Fill=—","Direction=H","UseDPDF=Y")</f>
        <v>#NAME?</v>
      </c>
      <c r="Q40" s="19" t="e" cm="1">
        <f t="array" aca="1" ref="Q40" ca="1">_xll.BDH("DATA IN Equity","EARN_FOR_COMMON","FY 2018","FY 2018","Currency=INR","Period=FY","BEST_FPERIOD_OVERRIDE=FY","FILING_STATUS=MR","EQY_CONSOLIDATED=Y","SCALING_FORMAT=MLN","FA_ADJUSTED=Adjusted","Sort=A","Dates=H","DateFormat=P","Fill=—","Direction=H","UseDPDF=Y")</f>
        <v>#NAME?</v>
      </c>
      <c r="R40" s="19" t="e" cm="1">
        <f t="array" aca="1" ref="R40" ca="1">_xll.BDH("DATA IN Equity","EARN_FOR_COMMON","FY 2019","FY 2019","Currency=INR","Period=FY","BEST_FPERIOD_OVERRIDE=FY","FILING_STATUS=MR","EQY_CONSOLIDATED=Y","SCALING_FORMAT=MLN","FA_ADJUSTED=Adjusted","Sort=A","Dates=H","DateFormat=P","Fill=—","Direction=H","UseDPDF=Y")</f>
        <v>#NAME?</v>
      </c>
      <c r="S40" s="19" t="e" cm="1">
        <f t="array" aca="1" ref="S40" ca="1">_xll.BDH("DATA IN Equity","EARN_FOR_COMMON","FY 2020","FY 2020","Currency=INR","Period=FY","BEST_FPERIOD_OVERRIDE=FY","FILING_STATUS=MR","EQY_CONSOLIDATED=Y","SCALING_FORMAT=MLN","FA_ADJUSTED=Adjusted","Sort=A","Dates=H","DateFormat=P","Fill=—","Direction=H","UseDPDF=Y")</f>
        <v>#NAME?</v>
      </c>
      <c r="T40" s="19" t="e" cm="1">
        <f t="array" aca="1" ref="T40" ca="1">_xll.BDH("DATA IN Equity","EARN_FOR_COMMON","FY 2021","FY 2021","Currency=INR","Period=FY","BEST_FPERIOD_OVERRIDE=FY","FILING_STATUS=MR","EQY_CONSOLIDATED=Y","SCALING_FORMAT=MLN","FA_ADJUSTED=Adjusted","Sort=A","Dates=H","DateFormat=P","Fill=—","Direction=H","UseDPDF=Y")</f>
        <v>#NAME?</v>
      </c>
      <c r="U40" s="19" t="e" cm="1">
        <f t="array" aca="1" ref="U40" ca="1">_xll.BDH("DATA IN Equity","EARN_FOR_COMMON","FY 2022","FY 2022","Currency=INR","Period=FY","BEST_FPERIOD_OVERRIDE=FY","FILING_STATUS=MR","EQY_CONSOLIDATED=Y","SCALING_FORMAT=MLN","FA_ADJUSTED=Adjusted","Sort=A","Dates=H","DateFormat=P","Fill=—","Direction=H","UseDPDF=Y")</f>
        <v>#NAME?</v>
      </c>
      <c r="V40" s="19" t="e" cm="1">
        <f t="array" aca="1" ref="V40" ca="1">_xll.BDH("DATA IN Equity","EARN_FOR_COMMON","FY 2023","FY 2023","Currency=INR","Period=FY","BEST_FPERIOD_OVERRIDE=FY","FILING_STATUS=MR","EQY_CONSOLIDATED=Y","SCALING_FORMAT=MLN","FA_ADJUSTED=Adjusted","Sort=A","Dates=H","DateFormat=P","Fill=—","Direction=H","UseDPDF=Y")</f>
        <v>#NAME?</v>
      </c>
      <c r="W40" s="19" t="e" cm="1">
        <f t="array" aca="1" ref="W40" ca="1">_xll.BDH("DATA IN Equity","EARN_FOR_COMMON","FY 2024","FY 2024","Currency=INR","Period=FY","BEST_FPERIOD_OVERRIDE=FY","FILING_STATUS=MR","EQY_CONSOLIDATED=Y","SCALING_FORMAT=MLN","FA_ADJUSTED=Adjusted","Sort=A","Dates=H","DateFormat=P","Fill=—","Direction=H","UseDPDF=Y")</f>
        <v>#NAME?</v>
      </c>
      <c r="X40" s="19" t="e" cm="1">
        <f t="array" aca="1" ref="X40" ca="1">_xll.BDH("DATA IN Equity","EARN_FOR_COMMON","FY 2025","FY 2025","Currency=INR","Period=FY","BEST_FPERIOD_OVERRIDE=FY","FILING_STATUS=MR","EQY_CONSOLIDATED=Y","SCALING_FORMAT=MLN","FA_ADJUSTED=Adjusted","Sort=A","Dates=H","DateFormat=P","Fill=—","Direction=H","UseDPDF=Y")</f>
        <v>#NAME?</v>
      </c>
      <c r="Y40" s="22">
        <v>1666.85</v>
      </c>
      <c r="Z40" s="19">
        <v>2493</v>
      </c>
      <c r="AA40" s="19">
        <v>2850</v>
      </c>
    </row>
    <row r="41" spans="1:27" x14ac:dyDescent="0.2">
      <c r="A41" s="10" t="s">
        <v>183</v>
      </c>
      <c r="B41" s="10" t="s">
        <v>184</v>
      </c>
      <c r="C41" s="13" t="e" cm="1">
        <f t="array" aca="1" ref="C41" ca="1">_xll.BDH("DATA IN Equity","IS_NET_ABNORMAL_ITEMS","FY 2004","FY 2004","Currency=INR","Period=FY","BEST_FPERIOD_OVERRIDE=FY","FILING_STATUS=MR","EQY_CONSOLIDATED=Y","SCALING_FORMAT=MLN","Sort=A","Dates=H","DateFormat=P","Fill=—","Direction=H","UseDPDF=Y")</f>
        <v>#NAME?</v>
      </c>
      <c r="D41" s="13" t="e" cm="1">
        <f t="array" aca="1" ref="D41" ca="1">_xll.BDH("DATA IN Equity","IS_NET_ABNORMAL_ITEMS","FY 2005","FY 2005","Currency=INR","Period=FY","BEST_FPERIOD_OVERRIDE=FY","FILING_STATUS=MR","EQY_CONSOLIDATED=Y","SCALING_FORMAT=MLN","Sort=A","Dates=H","DateFormat=P","Fill=—","Direction=H","UseDPDF=Y")</f>
        <v>#NAME?</v>
      </c>
      <c r="E41" s="13" t="e" cm="1">
        <f t="array" aca="1" ref="E41" ca="1">_xll.BDH("DATA IN Equity","IS_NET_ABNORMAL_ITEMS","FY 2006","FY 2006","Currency=INR","Period=FY","BEST_FPERIOD_OVERRIDE=FY","FILING_STATUS=MR","EQY_CONSOLIDATED=Y","SCALING_FORMAT=MLN","Sort=A","Dates=H","DateFormat=P","Fill=—","Direction=H","UseDPDF=Y")</f>
        <v>#NAME?</v>
      </c>
      <c r="F41" s="13" t="e" cm="1">
        <f t="array" aca="1" ref="F41" ca="1">_xll.BDH("DATA IN Equity","IS_NET_ABNORMAL_ITEMS","FY 2007","FY 2007","Currency=INR","Period=FY","BEST_FPERIOD_OVERRIDE=FY","FILING_STATUS=MR","EQY_CONSOLIDATED=Y","SCALING_FORMAT=MLN","Sort=A","Dates=H","DateFormat=P","Fill=—","Direction=H","UseDPDF=Y")</f>
        <v>#NAME?</v>
      </c>
      <c r="G41" s="13" t="e" cm="1">
        <f t="array" aca="1" ref="G41" ca="1">_xll.BDH("DATA IN Equity","IS_NET_ABNORMAL_ITEMS","FY 2008","FY 2008","Currency=INR","Period=FY","BEST_FPERIOD_OVERRIDE=FY","FILING_STATUS=MR","EQY_CONSOLIDATED=Y","SCALING_FORMAT=MLN","Sort=A","Dates=H","DateFormat=P","Fill=—","Direction=H","UseDPDF=Y")</f>
        <v>#NAME?</v>
      </c>
      <c r="H41" s="13" t="e" cm="1">
        <f t="array" aca="1" ref="H41" ca="1">_xll.BDH("DATA IN Equity","IS_NET_ABNORMAL_ITEMS","FY 2009","FY 2009","Currency=INR","Period=FY","BEST_FPERIOD_OVERRIDE=FY","FILING_STATUS=MR","EQY_CONSOLIDATED=Y","SCALING_FORMAT=MLN","Sort=A","Dates=H","DateFormat=P","Fill=—","Direction=H","UseDPDF=Y")</f>
        <v>#NAME?</v>
      </c>
      <c r="I41" s="13" t="e" cm="1">
        <f t="array" aca="1" ref="I41" ca="1">_xll.BDH("DATA IN Equity","IS_NET_ABNORMAL_ITEMS","FY 2010","FY 2010","Currency=INR","Period=FY","BEST_FPERIOD_OVERRIDE=FY","FILING_STATUS=MR","EQY_CONSOLIDATED=Y","SCALING_FORMAT=MLN","Sort=A","Dates=H","DateFormat=P","Fill=—","Direction=H","UseDPDF=Y")</f>
        <v>#NAME?</v>
      </c>
      <c r="J41" s="13" t="e" cm="1">
        <f t="array" aca="1" ref="J41" ca="1">_xll.BDH("DATA IN Equity","IS_NET_ABNORMAL_ITEMS","FY 2011","FY 2011","Currency=INR","Period=FY","BEST_FPERIOD_OVERRIDE=FY","FILING_STATUS=MR","EQY_CONSOLIDATED=Y","SCALING_FORMAT=MLN","Sort=A","Dates=H","DateFormat=P","Fill=—","Direction=H","UseDPDF=Y")</f>
        <v>#NAME?</v>
      </c>
      <c r="K41" s="13" t="e" cm="1">
        <f t="array" aca="1" ref="K41" ca="1">_xll.BDH("DATA IN Equity","IS_NET_ABNORMAL_ITEMS","FY 2012","FY 2012","Currency=INR","Period=FY","BEST_FPERIOD_OVERRIDE=FY","FILING_STATUS=MR","EQY_CONSOLIDATED=Y","SCALING_FORMAT=MLN","Sort=A","Dates=H","DateFormat=P","Fill=—","Direction=H","UseDPDF=Y")</f>
        <v>#NAME?</v>
      </c>
      <c r="L41" s="13" t="e" cm="1">
        <f t="array" aca="1" ref="L41" ca="1">_xll.BDH("DATA IN Equity","IS_NET_ABNORMAL_ITEMS","FY 2013","FY 2013","Currency=INR","Period=FY","BEST_FPERIOD_OVERRIDE=FY","FILING_STATUS=MR","EQY_CONSOLIDATED=Y","SCALING_FORMAT=MLN","Sort=A","Dates=H","DateFormat=P","Fill=—","Direction=H","UseDPDF=Y")</f>
        <v>#NAME?</v>
      </c>
      <c r="M41" s="13" t="e" cm="1">
        <f t="array" aca="1" ref="M41" ca="1">_xll.BDH("DATA IN Equity","IS_NET_ABNORMAL_ITEMS","FY 2014","FY 2014","Currency=INR","Period=FY","BEST_FPERIOD_OVERRIDE=FY","FILING_STATUS=MR","EQY_CONSOLIDATED=Y","SCALING_FORMAT=MLN","Sort=A","Dates=H","DateFormat=P","Fill=—","Direction=H","UseDPDF=Y")</f>
        <v>#NAME?</v>
      </c>
      <c r="N41" s="13" t="e" cm="1">
        <f t="array" aca="1" ref="N41" ca="1">_xll.BDH("DATA IN Equity","IS_NET_ABNORMAL_ITEMS","FY 2015","FY 2015","Currency=INR","Period=FY","BEST_FPERIOD_OVERRIDE=FY","FILING_STATUS=MR","EQY_CONSOLIDATED=Y","SCALING_FORMAT=MLN","Sort=A","Dates=H","DateFormat=P","Fill=—","Direction=H","UseDPDF=Y")</f>
        <v>#NAME?</v>
      </c>
      <c r="O41" s="13" t="e" cm="1">
        <f t="array" aca="1" ref="O41" ca="1">_xll.BDH("DATA IN Equity","IS_NET_ABNORMAL_ITEMS","FY 2016","FY 2016","Currency=INR","Period=FY","BEST_FPERIOD_OVERRIDE=FY","FILING_STATUS=MR","EQY_CONSOLIDATED=Y","SCALING_FORMAT=MLN","Sort=A","Dates=H","DateFormat=P","Fill=—","Direction=H","UseDPDF=Y")</f>
        <v>#NAME?</v>
      </c>
      <c r="P41" s="13" t="e" cm="1">
        <f t="array" aca="1" ref="P41" ca="1">_xll.BDH("DATA IN Equity","IS_NET_ABNORMAL_ITEMS","FY 2017","FY 2017","Currency=INR","Period=FY","BEST_FPERIOD_OVERRIDE=FY","FILING_STATUS=MR","EQY_CONSOLIDATED=Y","SCALING_FORMAT=MLN","Sort=A","Dates=H","DateFormat=P","Fill=—","Direction=H","UseDPDF=Y")</f>
        <v>#NAME?</v>
      </c>
      <c r="Q41" s="13" t="e" cm="1">
        <f t="array" aca="1" ref="Q41" ca="1">_xll.BDH("DATA IN Equity","IS_NET_ABNORMAL_ITEMS","FY 2018","FY 2018","Currency=INR","Period=FY","BEST_FPERIOD_OVERRIDE=FY","FILING_STATUS=MR","EQY_CONSOLIDATED=Y","SCALING_FORMAT=MLN","Sort=A","Dates=H","DateFormat=P","Fill=—","Direction=H","UseDPDF=Y")</f>
        <v>#NAME?</v>
      </c>
      <c r="R41" s="13" t="e" cm="1">
        <f t="array" aca="1" ref="R41" ca="1">_xll.BDH("DATA IN Equity","IS_NET_ABNORMAL_ITEMS","FY 2019","FY 2019","Currency=INR","Period=FY","BEST_FPERIOD_OVERRIDE=FY","FILING_STATUS=MR","EQY_CONSOLIDATED=Y","SCALING_FORMAT=MLN","Sort=A","Dates=H","DateFormat=P","Fill=—","Direction=H","UseDPDF=Y")</f>
        <v>#NAME?</v>
      </c>
      <c r="S41" s="13" t="e" cm="1">
        <f t="array" aca="1" ref="S41" ca="1">_xll.BDH("DATA IN Equity","IS_NET_ABNORMAL_ITEMS","FY 2020","FY 2020","Currency=INR","Period=FY","BEST_FPERIOD_OVERRIDE=FY","FILING_STATUS=MR","EQY_CONSOLIDATED=Y","SCALING_FORMAT=MLN","Sort=A","Dates=H","DateFormat=P","Fill=—","Direction=H","UseDPDF=Y")</f>
        <v>#NAME?</v>
      </c>
      <c r="T41" s="13" t="e" cm="1">
        <f t="array" aca="1" ref="T41" ca="1">_xll.BDH("DATA IN Equity","IS_NET_ABNORMAL_ITEMS","FY 2021","FY 2021","Currency=INR","Period=FY","BEST_FPERIOD_OVERRIDE=FY","FILING_STATUS=MR","EQY_CONSOLIDATED=Y","SCALING_FORMAT=MLN","Sort=A","Dates=H","DateFormat=P","Fill=—","Direction=H","UseDPDF=Y")</f>
        <v>#NAME?</v>
      </c>
      <c r="U41" s="13" t="e" cm="1">
        <f t="array" aca="1" ref="U41" ca="1">_xll.BDH("DATA IN Equity","IS_NET_ABNORMAL_ITEMS","FY 2022","FY 2022","Currency=INR","Period=FY","BEST_FPERIOD_OVERRIDE=FY","FILING_STATUS=MR","EQY_CONSOLIDATED=Y","SCALING_FORMAT=MLN","Sort=A","Dates=H","DateFormat=P","Fill=—","Direction=H","UseDPDF=Y")</f>
        <v>#NAME?</v>
      </c>
      <c r="V41" s="13" t="e" cm="1">
        <f t="array" aca="1" ref="V41" ca="1">_xll.BDH("DATA IN Equity","IS_NET_ABNORMAL_ITEMS","FY 2023","FY 2023","Currency=INR","Period=FY","BEST_FPERIOD_OVERRIDE=FY","FILING_STATUS=MR","EQY_CONSOLIDATED=Y","SCALING_FORMAT=MLN","Sort=A","Dates=H","DateFormat=P","Fill=—","Direction=H","UseDPDF=Y")</f>
        <v>#NAME?</v>
      </c>
      <c r="W41" s="13" t="e" cm="1">
        <f t="array" aca="1" ref="W41" ca="1">_xll.BDH("DATA IN Equity","IS_NET_ABNORMAL_ITEMS","FY 2024","FY 2024","Currency=INR","Period=FY","BEST_FPERIOD_OVERRIDE=FY","FILING_STATUS=MR","EQY_CONSOLIDATED=Y","SCALING_FORMAT=MLN","Sort=A","Dates=H","DateFormat=P","Fill=—","Direction=H","UseDPDF=Y")</f>
        <v>#NAME?</v>
      </c>
      <c r="X41" s="13" t="e" cm="1">
        <f t="array" aca="1" ref="X41" ca="1">_xll.BDH("DATA IN Equity","IS_NET_ABNORMAL_ITEMS","FY 2025","FY 2025","Currency=INR","Period=FY","BEST_FPERIOD_OVERRIDE=FY","FILING_STATUS=MR","EQY_CONSOLIDATED=Y","SCALING_FORMAT=MLN","Sort=A","Dates=H","DateFormat=P","Fill=—","Direction=H","UseDPDF=Y")</f>
        <v>#NAME?</v>
      </c>
      <c r="Y41" s="16">
        <v>-281.75</v>
      </c>
      <c r="Z41" s="13"/>
      <c r="AA41" s="13"/>
    </row>
    <row r="42" spans="1:27" x14ac:dyDescent="0.2">
      <c r="A42" s="10" t="s">
        <v>185</v>
      </c>
      <c r="B42" s="10" t="s">
        <v>165</v>
      </c>
      <c r="C42" s="13" t="e" cm="1">
        <f t="array" aca="1" ref="C42" ca="1">_xll.BDH("DATA IN Equity","XO_GL_NET_OF_TAX","FY 2004","FY 2004","Currency=INR","Period=FY","BEST_FPERIOD_OVERRIDE=FY","FILING_STATUS=MR","EQY_CONSOLIDATED=Y","SCALING_FORMAT=MLN","Sort=A","Dates=H","DateFormat=P","Fill=—","Direction=H","UseDPDF=Y")</f>
        <v>#NAME?</v>
      </c>
      <c r="D42" s="13" t="e" cm="1">
        <f t="array" aca="1" ref="D42" ca="1">_xll.BDH("DATA IN Equity","XO_GL_NET_OF_TAX","FY 2005","FY 2005","Currency=INR","Period=FY","BEST_FPERIOD_OVERRIDE=FY","FILING_STATUS=MR","EQY_CONSOLIDATED=Y","SCALING_FORMAT=MLN","Sort=A","Dates=H","DateFormat=P","Fill=—","Direction=H","UseDPDF=Y")</f>
        <v>#NAME?</v>
      </c>
      <c r="E42" s="13" t="e" cm="1">
        <f t="array" aca="1" ref="E42" ca="1">_xll.BDH("DATA IN Equity","XO_GL_NET_OF_TAX","FY 2006","FY 2006","Currency=INR","Period=FY","BEST_FPERIOD_OVERRIDE=FY","FILING_STATUS=MR","EQY_CONSOLIDATED=Y","SCALING_FORMAT=MLN","Sort=A","Dates=H","DateFormat=P","Fill=—","Direction=H","UseDPDF=Y")</f>
        <v>#NAME?</v>
      </c>
      <c r="F42" s="13" t="e" cm="1">
        <f t="array" aca="1" ref="F42" ca="1">_xll.BDH("DATA IN Equity","XO_GL_NET_OF_TAX","FY 2007","FY 2007","Currency=INR","Period=FY","BEST_FPERIOD_OVERRIDE=FY","FILING_STATUS=MR","EQY_CONSOLIDATED=Y","SCALING_FORMAT=MLN","Sort=A","Dates=H","DateFormat=P","Fill=—","Direction=H","UseDPDF=Y")</f>
        <v>#NAME?</v>
      </c>
      <c r="G42" s="13" t="e" cm="1">
        <f t="array" aca="1" ref="G42" ca="1">_xll.BDH("DATA IN Equity","XO_GL_NET_OF_TAX","FY 2008","FY 2008","Currency=INR","Period=FY","BEST_FPERIOD_OVERRIDE=FY","FILING_STATUS=MR","EQY_CONSOLIDATED=Y","SCALING_FORMAT=MLN","Sort=A","Dates=H","DateFormat=P","Fill=—","Direction=H","UseDPDF=Y")</f>
        <v>#NAME?</v>
      </c>
      <c r="H42" s="13" t="e" cm="1">
        <f t="array" aca="1" ref="H42" ca="1">_xll.BDH("DATA IN Equity","XO_GL_NET_OF_TAX","FY 2009","FY 2009","Currency=INR","Period=FY","BEST_FPERIOD_OVERRIDE=FY","FILING_STATUS=MR","EQY_CONSOLIDATED=Y","SCALING_FORMAT=MLN","Sort=A","Dates=H","DateFormat=P","Fill=—","Direction=H","UseDPDF=Y")</f>
        <v>#NAME?</v>
      </c>
      <c r="I42" s="13" t="e" cm="1">
        <f t="array" aca="1" ref="I42" ca="1">_xll.BDH("DATA IN Equity","XO_GL_NET_OF_TAX","FY 2010","FY 2010","Currency=INR","Period=FY","BEST_FPERIOD_OVERRIDE=FY","FILING_STATUS=MR","EQY_CONSOLIDATED=Y","SCALING_FORMAT=MLN","Sort=A","Dates=H","DateFormat=P","Fill=—","Direction=H","UseDPDF=Y")</f>
        <v>#NAME?</v>
      </c>
      <c r="J42" s="13" t="e" cm="1">
        <f t="array" aca="1" ref="J42" ca="1">_xll.BDH("DATA IN Equity","XO_GL_NET_OF_TAX","FY 2011","FY 2011","Currency=INR","Period=FY","BEST_FPERIOD_OVERRIDE=FY","FILING_STATUS=MR","EQY_CONSOLIDATED=Y","SCALING_FORMAT=MLN","Sort=A","Dates=H","DateFormat=P","Fill=—","Direction=H","UseDPDF=Y")</f>
        <v>#NAME?</v>
      </c>
      <c r="K42" s="13" t="e" cm="1">
        <f t="array" aca="1" ref="K42" ca="1">_xll.BDH("DATA IN Equity","XO_GL_NET_OF_TAX","FY 2012","FY 2012","Currency=INR","Period=FY","BEST_FPERIOD_OVERRIDE=FY","FILING_STATUS=MR","EQY_CONSOLIDATED=Y","SCALING_FORMAT=MLN","Sort=A","Dates=H","DateFormat=P","Fill=—","Direction=H","UseDPDF=Y")</f>
        <v>#NAME?</v>
      </c>
      <c r="L42" s="13" t="e" cm="1">
        <f t="array" aca="1" ref="L42" ca="1">_xll.BDH("DATA IN Equity","XO_GL_NET_OF_TAX","FY 2013","FY 2013","Currency=INR","Period=FY","BEST_FPERIOD_OVERRIDE=FY","FILING_STATUS=MR","EQY_CONSOLIDATED=Y","SCALING_FORMAT=MLN","Sort=A","Dates=H","DateFormat=P","Fill=—","Direction=H","UseDPDF=Y")</f>
        <v>#NAME?</v>
      </c>
      <c r="M42" s="13" t="e" cm="1">
        <f t="array" aca="1" ref="M42" ca="1">_xll.BDH("DATA IN Equity","XO_GL_NET_OF_TAX","FY 2014","FY 2014","Currency=INR","Period=FY","BEST_FPERIOD_OVERRIDE=FY","FILING_STATUS=MR","EQY_CONSOLIDATED=Y","SCALING_FORMAT=MLN","Sort=A","Dates=H","DateFormat=P","Fill=—","Direction=H","UseDPDF=Y")</f>
        <v>#NAME?</v>
      </c>
      <c r="N42" s="13" t="e" cm="1">
        <f t="array" aca="1" ref="N42" ca="1">_xll.BDH("DATA IN Equity","XO_GL_NET_OF_TAX","FY 2015","FY 2015","Currency=INR","Period=FY","BEST_FPERIOD_OVERRIDE=FY","FILING_STATUS=MR","EQY_CONSOLIDATED=Y","SCALING_FORMAT=MLN","Sort=A","Dates=H","DateFormat=P","Fill=—","Direction=H","UseDPDF=Y")</f>
        <v>#NAME?</v>
      </c>
      <c r="O42" s="13" t="e" cm="1">
        <f t="array" aca="1" ref="O42" ca="1">_xll.BDH("DATA IN Equity","XO_GL_NET_OF_TAX","FY 2016","FY 2016","Currency=INR","Period=FY","BEST_FPERIOD_OVERRIDE=FY","FILING_STATUS=MR","EQY_CONSOLIDATED=Y","SCALING_FORMAT=MLN","Sort=A","Dates=H","DateFormat=P","Fill=—","Direction=H","UseDPDF=Y")</f>
        <v>#NAME?</v>
      </c>
      <c r="P42" s="13" t="e" cm="1">
        <f t="array" aca="1" ref="P42" ca="1">_xll.BDH("DATA IN Equity","XO_GL_NET_OF_TAX","FY 2017","FY 2017","Currency=INR","Period=FY","BEST_FPERIOD_OVERRIDE=FY","FILING_STATUS=MR","EQY_CONSOLIDATED=Y","SCALING_FORMAT=MLN","Sort=A","Dates=H","DateFormat=P","Fill=—","Direction=H","UseDPDF=Y")</f>
        <v>#NAME?</v>
      </c>
      <c r="Q42" s="13" t="e" cm="1">
        <f t="array" aca="1" ref="Q42" ca="1">_xll.BDH("DATA IN Equity","XO_GL_NET_OF_TAX","FY 2018","FY 2018","Currency=INR","Period=FY","BEST_FPERIOD_OVERRIDE=FY","FILING_STATUS=MR","EQY_CONSOLIDATED=Y","SCALING_FORMAT=MLN","Sort=A","Dates=H","DateFormat=P","Fill=—","Direction=H","UseDPDF=Y")</f>
        <v>#NAME?</v>
      </c>
      <c r="R42" s="13" t="e" cm="1">
        <f t="array" aca="1" ref="R42" ca="1">_xll.BDH("DATA IN Equity","XO_GL_NET_OF_TAX","FY 2019","FY 2019","Currency=INR","Period=FY","BEST_FPERIOD_OVERRIDE=FY","FILING_STATUS=MR","EQY_CONSOLIDATED=Y","SCALING_FORMAT=MLN","Sort=A","Dates=H","DateFormat=P","Fill=—","Direction=H","UseDPDF=Y")</f>
        <v>#NAME?</v>
      </c>
      <c r="S42" s="13" t="e" cm="1">
        <f t="array" aca="1" ref="S42" ca="1">_xll.BDH("DATA IN Equity","XO_GL_NET_OF_TAX","FY 2020","FY 2020","Currency=INR","Period=FY","BEST_FPERIOD_OVERRIDE=FY","FILING_STATUS=MR","EQY_CONSOLIDATED=Y","SCALING_FORMAT=MLN","Sort=A","Dates=H","DateFormat=P","Fill=—","Direction=H","UseDPDF=Y")</f>
        <v>#NAME?</v>
      </c>
      <c r="T42" s="13" t="e" cm="1">
        <f t="array" aca="1" ref="T42" ca="1">_xll.BDH("DATA IN Equity","XO_GL_NET_OF_TAX","FY 2021","FY 2021","Currency=INR","Period=FY","BEST_FPERIOD_OVERRIDE=FY","FILING_STATUS=MR","EQY_CONSOLIDATED=Y","SCALING_FORMAT=MLN","Sort=A","Dates=H","DateFormat=P","Fill=—","Direction=H","UseDPDF=Y")</f>
        <v>#NAME?</v>
      </c>
      <c r="U42" s="13" t="e" cm="1">
        <f t="array" aca="1" ref="U42" ca="1">_xll.BDH("DATA IN Equity","XO_GL_NET_OF_TAX","FY 2022","FY 2022","Currency=INR","Period=FY","BEST_FPERIOD_OVERRIDE=FY","FILING_STATUS=MR","EQY_CONSOLIDATED=Y","SCALING_FORMAT=MLN","Sort=A","Dates=H","DateFormat=P","Fill=—","Direction=H","UseDPDF=Y")</f>
        <v>#NAME?</v>
      </c>
      <c r="V42" s="13" t="e" cm="1">
        <f t="array" aca="1" ref="V42" ca="1">_xll.BDH("DATA IN Equity","XO_GL_NET_OF_TAX","FY 2023","FY 2023","Currency=INR","Period=FY","BEST_FPERIOD_OVERRIDE=FY","FILING_STATUS=MR","EQY_CONSOLIDATED=Y","SCALING_FORMAT=MLN","Sort=A","Dates=H","DateFormat=P","Fill=—","Direction=H","UseDPDF=Y")</f>
        <v>#NAME?</v>
      </c>
      <c r="W42" s="13" t="e" cm="1">
        <f t="array" aca="1" ref="W42" ca="1">_xll.BDH("DATA IN Equity","XO_GL_NET_OF_TAX","FY 2024","FY 2024","Currency=INR","Period=FY","BEST_FPERIOD_OVERRIDE=FY","FILING_STATUS=MR","EQY_CONSOLIDATED=Y","SCALING_FORMAT=MLN","Sort=A","Dates=H","DateFormat=P","Fill=—","Direction=H","UseDPDF=Y")</f>
        <v>#NAME?</v>
      </c>
      <c r="X42" s="13" t="e" cm="1">
        <f t="array" aca="1" ref="X42" ca="1">_xll.BDH("DATA IN Equity","XO_GL_NET_OF_TAX","FY 2025","FY 2025","Currency=INR","Period=FY","BEST_FPERIOD_OVERRIDE=FY","FILING_STATUS=MR","EQY_CONSOLIDATED=Y","SCALING_FORMAT=MLN","Sort=A","Dates=H","DateFormat=P","Fill=—","Direction=H","UseDPDF=Y")</f>
        <v>#NAME?</v>
      </c>
      <c r="Y42" s="16">
        <v>0</v>
      </c>
      <c r="Z42" s="13"/>
      <c r="AA42" s="13"/>
    </row>
    <row r="43" spans="1:27" x14ac:dyDescent="0.2">
      <c r="A43" s="6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1"/>
      <c r="Z43" s="18"/>
      <c r="AA43" s="18"/>
    </row>
    <row r="44" spans="1:27" x14ac:dyDescent="0.2">
      <c r="A44" s="10" t="s">
        <v>186</v>
      </c>
      <c r="B44" s="10" t="s">
        <v>187</v>
      </c>
      <c r="C44" s="13" t="e" cm="1">
        <f t="array" aca="1" ref="C44" ca="1">_xll.BDH("DATA IN Equity","IS_AVG_NUM_SH_FOR_EPS","FY 2004","FY 2004","Currency=INR","Period=FY","BEST_FPERIOD_OVERRIDE=FY","FILING_STATUS=MR","EQY_CONSOLIDATED=Y","Sort=A","Dates=H","DateFormat=P","Fill=—","Direction=H","UseDPDF=Y")</f>
        <v>#NAME?</v>
      </c>
      <c r="D44" s="13" t="e" cm="1">
        <f t="array" aca="1" ref="D44" ca="1">_xll.BDH("DATA IN Equity","IS_AVG_NUM_SH_FOR_EPS","FY 2005","FY 2005","Currency=INR","Period=FY","BEST_FPERIOD_OVERRIDE=FY","FILING_STATUS=MR","EQY_CONSOLIDATED=Y","Sort=A","Dates=H","DateFormat=P","Fill=—","Direction=H","UseDPDF=Y")</f>
        <v>#NAME?</v>
      </c>
      <c r="E44" s="13" t="e" cm="1">
        <f t="array" aca="1" ref="E44" ca="1">_xll.BDH("DATA IN Equity","IS_AVG_NUM_SH_FOR_EPS","FY 2006","FY 2006","Currency=INR","Period=FY","BEST_FPERIOD_OVERRIDE=FY","FILING_STATUS=MR","EQY_CONSOLIDATED=Y","Sort=A","Dates=H","DateFormat=P","Fill=—","Direction=H","UseDPDF=Y")</f>
        <v>#NAME?</v>
      </c>
      <c r="F44" s="13" t="e" cm="1">
        <f t="array" aca="1" ref="F44" ca="1">_xll.BDH("DATA IN Equity","IS_AVG_NUM_SH_FOR_EPS","FY 2007","FY 2007","Currency=INR","Period=FY","BEST_FPERIOD_OVERRIDE=FY","FILING_STATUS=MR","EQY_CONSOLIDATED=Y","Sort=A","Dates=H","DateFormat=P","Fill=—","Direction=H","UseDPDF=Y")</f>
        <v>#NAME?</v>
      </c>
      <c r="G44" s="13" t="e" cm="1">
        <f t="array" aca="1" ref="G44" ca="1">_xll.BDH("DATA IN Equity","IS_AVG_NUM_SH_FOR_EPS","FY 2008","FY 2008","Currency=INR","Period=FY","BEST_FPERIOD_OVERRIDE=FY","FILING_STATUS=MR","EQY_CONSOLIDATED=Y","Sort=A","Dates=H","DateFormat=P","Fill=—","Direction=H","UseDPDF=Y")</f>
        <v>#NAME?</v>
      </c>
      <c r="H44" s="13" t="e" cm="1">
        <f t="array" aca="1" ref="H44" ca="1">_xll.BDH("DATA IN Equity","IS_AVG_NUM_SH_FOR_EPS","FY 2009","FY 2009","Currency=INR","Period=FY","BEST_FPERIOD_OVERRIDE=FY","FILING_STATUS=MR","EQY_CONSOLIDATED=Y","Sort=A","Dates=H","DateFormat=P","Fill=—","Direction=H","UseDPDF=Y")</f>
        <v>#NAME?</v>
      </c>
      <c r="I44" s="13" t="e" cm="1">
        <f t="array" aca="1" ref="I44" ca="1">_xll.BDH("DATA IN Equity","IS_AVG_NUM_SH_FOR_EPS","FY 2010","FY 2010","Currency=INR","Period=FY","BEST_FPERIOD_OVERRIDE=FY","FILING_STATUS=MR","EQY_CONSOLIDATED=Y","Sort=A","Dates=H","DateFormat=P","Fill=—","Direction=H","UseDPDF=Y")</f>
        <v>#NAME?</v>
      </c>
      <c r="J44" s="13" t="e" cm="1">
        <f t="array" aca="1" ref="J44" ca="1">_xll.BDH("DATA IN Equity","IS_AVG_NUM_SH_FOR_EPS","FY 2011","FY 2011","Currency=INR","Period=FY","BEST_FPERIOD_OVERRIDE=FY","FILING_STATUS=MR","EQY_CONSOLIDATED=Y","Sort=A","Dates=H","DateFormat=P","Fill=—","Direction=H","UseDPDF=Y")</f>
        <v>#NAME?</v>
      </c>
      <c r="K44" s="13" t="e" cm="1">
        <f t="array" aca="1" ref="K44" ca="1">_xll.BDH("DATA IN Equity","IS_AVG_NUM_SH_FOR_EPS","FY 2012","FY 2012","Currency=INR","Period=FY","BEST_FPERIOD_OVERRIDE=FY","FILING_STATUS=MR","EQY_CONSOLIDATED=Y","Sort=A","Dates=H","DateFormat=P","Fill=—","Direction=H","UseDPDF=Y")</f>
        <v>#NAME?</v>
      </c>
      <c r="L44" s="13" t="e" cm="1">
        <f t="array" aca="1" ref="L44" ca="1">_xll.BDH("DATA IN Equity","IS_AVG_NUM_SH_FOR_EPS","FY 2013","FY 2013","Currency=INR","Period=FY","BEST_FPERIOD_OVERRIDE=FY","FILING_STATUS=MR","EQY_CONSOLIDATED=Y","Sort=A","Dates=H","DateFormat=P","Fill=—","Direction=H","UseDPDF=Y")</f>
        <v>#NAME?</v>
      </c>
      <c r="M44" s="13" t="e" cm="1">
        <f t="array" aca="1" ref="M44" ca="1">_xll.BDH("DATA IN Equity","IS_AVG_NUM_SH_FOR_EPS","FY 2014","FY 2014","Currency=INR","Period=FY","BEST_FPERIOD_OVERRIDE=FY","FILING_STATUS=MR","EQY_CONSOLIDATED=Y","Sort=A","Dates=H","DateFormat=P","Fill=—","Direction=H","UseDPDF=Y")</f>
        <v>#NAME?</v>
      </c>
      <c r="N44" s="13" t="e" cm="1">
        <f t="array" aca="1" ref="N44" ca="1">_xll.BDH("DATA IN Equity","IS_AVG_NUM_SH_FOR_EPS","FY 2015","FY 2015","Currency=INR","Period=FY","BEST_FPERIOD_OVERRIDE=FY","FILING_STATUS=MR","EQY_CONSOLIDATED=Y","Sort=A","Dates=H","DateFormat=P","Fill=—","Direction=H","UseDPDF=Y")</f>
        <v>#NAME?</v>
      </c>
      <c r="O44" s="13" t="e" cm="1">
        <f t="array" aca="1" ref="O44" ca="1">_xll.BDH("DATA IN Equity","IS_AVG_NUM_SH_FOR_EPS","FY 2016","FY 2016","Currency=INR","Period=FY","BEST_FPERIOD_OVERRIDE=FY","FILING_STATUS=MR","EQY_CONSOLIDATED=Y","Sort=A","Dates=H","DateFormat=P","Fill=—","Direction=H","UseDPDF=Y")</f>
        <v>#NAME?</v>
      </c>
      <c r="P44" s="13" t="e" cm="1">
        <f t="array" aca="1" ref="P44" ca="1">_xll.BDH("DATA IN Equity","IS_AVG_NUM_SH_FOR_EPS","FY 2017","FY 2017","Currency=INR","Period=FY","BEST_FPERIOD_OVERRIDE=FY","FILING_STATUS=MR","EQY_CONSOLIDATED=Y","Sort=A","Dates=H","DateFormat=P","Fill=—","Direction=H","UseDPDF=Y")</f>
        <v>#NAME?</v>
      </c>
      <c r="Q44" s="13" t="e" cm="1">
        <f t="array" aca="1" ref="Q44" ca="1">_xll.BDH("DATA IN Equity","IS_AVG_NUM_SH_FOR_EPS","FY 2018","FY 2018","Currency=INR","Period=FY","BEST_FPERIOD_OVERRIDE=FY","FILING_STATUS=MR","EQY_CONSOLIDATED=Y","Sort=A","Dates=H","DateFormat=P","Fill=—","Direction=H","UseDPDF=Y")</f>
        <v>#NAME?</v>
      </c>
      <c r="R44" s="13" t="e" cm="1">
        <f t="array" aca="1" ref="R44" ca="1">_xll.BDH("DATA IN Equity","IS_AVG_NUM_SH_FOR_EPS","FY 2019","FY 2019","Currency=INR","Period=FY","BEST_FPERIOD_OVERRIDE=FY","FILING_STATUS=MR","EQY_CONSOLIDATED=Y","Sort=A","Dates=H","DateFormat=P","Fill=—","Direction=H","UseDPDF=Y")</f>
        <v>#NAME?</v>
      </c>
      <c r="S44" s="13" t="e" cm="1">
        <f t="array" aca="1" ref="S44" ca="1">_xll.BDH("DATA IN Equity","IS_AVG_NUM_SH_FOR_EPS","FY 2020","FY 2020","Currency=INR","Period=FY","BEST_FPERIOD_OVERRIDE=FY","FILING_STATUS=MR","EQY_CONSOLIDATED=Y","Sort=A","Dates=H","DateFormat=P","Fill=—","Direction=H","UseDPDF=Y")</f>
        <v>#NAME?</v>
      </c>
      <c r="T44" s="13" t="e" cm="1">
        <f t="array" aca="1" ref="T44" ca="1">_xll.BDH("DATA IN Equity","IS_AVG_NUM_SH_FOR_EPS","FY 2021","FY 2021","Currency=INR","Period=FY","BEST_FPERIOD_OVERRIDE=FY","FILING_STATUS=MR","EQY_CONSOLIDATED=Y","Sort=A","Dates=H","DateFormat=P","Fill=—","Direction=H","UseDPDF=Y")</f>
        <v>#NAME?</v>
      </c>
      <c r="U44" s="13" t="e" cm="1">
        <f t="array" aca="1" ref="U44" ca="1">_xll.BDH("DATA IN Equity","IS_AVG_NUM_SH_FOR_EPS","FY 2022","FY 2022","Currency=INR","Period=FY","BEST_FPERIOD_OVERRIDE=FY","FILING_STATUS=MR","EQY_CONSOLIDATED=Y","Sort=A","Dates=H","DateFormat=P","Fill=—","Direction=H","UseDPDF=Y")</f>
        <v>#NAME?</v>
      </c>
      <c r="V44" s="13" t="e" cm="1">
        <f t="array" aca="1" ref="V44" ca="1">_xll.BDH("DATA IN Equity","IS_AVG_NUM_SH_FOR_EPS","FY 2023","FY 2023","Currency=INR","Period=FY","BEST_FPERIOD_OVERRIDE=FY","FILING_STATUS=MR","EQY_CONSOLIDATED=Y","Sort=A","Dates=H","DateFormat=P","Fill=—","Direction=H","UseDPDF=Y")</f>
        <v>#NAME?</v>
      </c>
      <c r="W44" s="13" t="e" cm="1">
        <f t="array" aca="1" ref="W44" ca="1">_xll.BDH("DATA IN Equity","IS_AVG_NUM_SH_FOR_EPS","FY 2024","FY 2024","Currency=INR","Period=FY","BEST_FPERIOD_OVERRIDE=FY","FILING_STATUS=MR","EQY_CONSOLIDATED=Y","Sort=A","Dates=H","DateFormat=P","Fill=—","Direction=H","UseDPDF=Y")</f>
        <v>#NAME?</v>
      </c>
      <c r="X44" s="13" t="e" cm="1">
        <f t="array" aca="1" ref="X44" ca="1">_xll.BDH("DATA IN Equity","IS_AVG_NUM_SH_FOR_EPS","FY 2025","FY 2025","Currency=INR","Period=FY","BEST_FPERIOD_OVERRIDE=FY","FILING_STATUS=MR","EQY_CONSOLIDATED=Y","Sort=A","Dates=H","DateFormat=P","Fill=—","Direction=H","UseDPDF=Y")</f>
        <v>#NAME?</v>
      </c>
      <c r="Y44" s="16">
        <v>59.1</v>
      </c>
      <c r="Z44" s="13"/>
      <c r="AA44" s="13"/>
    </row>
    <row r="45" spans="1:27" x14ac:dyDescent="0.2">
      <c r="A45" s="6" t="s">
        <v>188</v>
      </c>
      <c r="B45" s="6" t="s">
        <v>189</v>
      </c>
      <c r="C45" s="20" t="e" cm="1">
        <f t="array" aca="1" ref="C45" ca="1">_xll.BDH("DATA IN Equity","IS_EPS","FY 2004","FY 2004","Currency=INR","Period=FY","BEST_FPERIOD_OVERRIDE=FY","FILING_STATUS=MR","EQY_CONSOLIDATED=Y","FA_ADJUSTED=GAAP","Sort=A","Dates=H","DateFormat=P","Fill=—","Direction=H","UseDPDF=Y")</f>
        <v>#NAME?</v>
      </c>
      <c r="D45" s="20" t="e" cm="1">
        <f t="array" aca="1" ref="D45" ca="1">_xll.BDH("DATA IN Equity","IS_EPS","FY 2005","FY 2005","Currency=INR","Period=FY","BEST_FPERIOD_OVERRIDE=FY","FILING_STATUS=MR","EQY_CONSOLIDATED=Y","FA_ADJUSTED=GAAP","Sort=A","Dates=H","DateFormat=P","Fill=—","Direction=H","UseDPDF=Y")</f>
        <v>#NAME?</v>
      </c>
      <c r="E45" s="20" t="e" cm="1">
        <f t="array" aca="1" ref="E45" ca="1">_xll.BDH("DATA IN Equity","IS_EPS","FY 2006","FY 2006","Currency=INR","Period=FY","BEST_FPERIOD_OVERRIDE=FY","FILING_STATUS=MR","EQY_CONSOLIDATED=Y","FA_ADJUSTED=GAAP","Sort=A","Dates=H","DateFormat=P","Fill=—","Direction=H","UseDPDF=Y")</f>
        <v>#NAME?</v>
      </c>
      <c r="F45" s="20" t="e" cm="1">
        <f t="array" aca="1" ref="F45" ca="1">_xll.BDH("DATA IN Equity","IS_EPS","FY 2007","FY 2007","Currency=INR","Period=FY","BEST_FPERIOD_OVERRIDE=FY","FILING_STATUS=MR","EQY_CONSOLIDATED=Y","FA_ADJUSTED=GAAP","Sort=A","Dates=H","DateFormat=P","Fill=—","Direction=H","UseDPDF=Y")</f>
        <v>#NAME?</v>
      </c>
      <c r="G45" s="20" t="e" cm="1">
        <f t="array" aca="1" ref="G45" ca="1">_xll.BDH("DATA IN Equity","IS_EPS","FY 2008","FY 2008","Currency=INR","Period=FY","BEST_FPERIOD_OVERRIDE=FY","FILING_STATUS=MR","EQY_CONSOLIDATED=Y","FA_ADJUSTED=GAAP","Sort=A","Dates=H","DateFormat=P","Fill=—","Direction=H","UseDPDF=Y")</f>
        <v>#NAME?</v>
      </c>
      <c r="H45" s="20" t="e" cm="1">
        <f t="array" aca="1" ref="H45" ca="1">_xll.BDH("DATA IN Equity","IS_EPS","FY 2009","FY 2009","Currency=INR","Period=FY","BEST_FPERIOD_OVERRIDE=FY","FILING_STATUS=MR","EQY_CONSOLIDATED=Y","FA_ADJUSTED=GAAP","Sort=A","Dates=H","DateFormat=P","Fill=—","Direction=H","UseDPDF=Y")</f>
        <v>#NAME?</v>
      </c>
      <c r="I45" s="20" t="e" cm="1">
        <f t="array" aca="1" ref="I45" ca="1">_xll.BDH("DATA IN Equity","IS_EPS","FY 2010","FY 2010","Currency=INR","Period=FY","BEST_FPERIOD_OVERRIDE=FY","FILING_STATUS=MR","EQY_CONSOLIDATED=Y","FA_ADJUSTED=GAAP","Sort=A","Dates=H","DateFormat=P","Fill=—","Direction=H","UseDPDF=Y")</f>
        <v>#NAME?</v>
      </c>
      <c r="J45" s="20" t="e" cm="1">
        <f t="array" aca="1" ref="J45" ca="1">_xll.BDH("DATA IN Equity","IS_EPS","FY 2011","FY 2011","Currency=INR","Period=FY","BEST_FPERIOD_OVERRIDE=FY","FILING_STATUS=MR","EQY_CONSOLIDATED=Y","FA_ADJUSTED=GAAP","Sort=A","Dates=H","DateFormat=P","Fill=—","Direction=H","UseDPDF=Y")</f>
        <v>#NAME?</v>
      </c>
      <c r="K45" s="20" t="e" cm="1">
        <f t="array" aca="1" ref="K45" ca="1">_xll.BDH("DATA IN Equity","IS_EPS","FY 2012","FY 2012","Currency=INR","Period=FY","BEST_FPERIOD_OVERRIDE=FY","FILING_STATUS=MR","EQY_CONSOLIDATED=Y","FA_ADJUSTED=GAAP","Sort=A","Dates=H","DateFormat=P","Fill=—","Direction=H","UseDPDF=Y")</f>
        <v>#NAME?</v>
      </c>
      <c r="L45" s="20" t="e" cm="1">
        <f t="array" aca="1" ref="L45" ca="1">_xll.BDH("DATA IN Equity","IS_EPS","FY 2013","FY 2013","Currency=INR","Period=FY","BEST_FPERIOD_OVERRIDE=FY","FILING_STATUS=MR","EQY_CONSOLIDATED=Y","FA_ADJUSTED=GAAP","Sort=A","Dates=H","DateFormat=P","Fill=—","Direction=H","UseDPDF=Y")</f>
        <v>#NAME?</v>
      </c>
      <c r="M45" s="20" t="e" cm="1">
        <f t="array" aca="1" ref="M45" ca="1">_xll.BDH("DATA IN Equity","IS_EPS","FY 2014","FY 2014","Currency=INR","Period=FY","BEST_FPERIOD_OVERRIDE=FY","FILING_STATUS=MR","EQY_CONSOLIDATED=Y","FA_ADJUSTED=GAAP","Sort=A","Dates=H","DateFormat=P","Fill=—","Direction=H","UseDPDF=Y")</f>
        <v>#NAME?</v>
      </c>
      <c r="N45" s="20" t="e" cm="1">
        <f t="array" aca="1" ref="N45" ca="1">_xll.BDH("DATA IN Equity","IS_EPS","FY 2015","FY 2015","Currency=INR","Period=FY","BEST_FPERIOD_OVERRIDE=FY","FILING_STATUS=MR","EQY_CONSOLIDATED=Y","FA_ADJUSTED=GAAP","Sort=A","Dates=H","DateFormat=P","Fill=—","Direction=H","UseDPDF=Y")</f>
        <v>#NAME?</v>
      </c>
      <c r="O45" s="20" t="e" cm="1">
        <f t="array" aca="1" ref="O45" ca="1">_xll.BDH("DATA IN Equity","IS_EPS","FY 2016","FY 2016","Currency=INR","Period=FY","BEST_FPERIOD_OVERRIDE=FY","FILING_STATUS=MR","EQY_CONSOLIDATED=Y","FA_ADJUSTED=GAAP","Sort=A","Dates=H","DateFormat=P","Fill=—","Direction=H","UseDPDF=Y")</f>
        <v>#NAME?</v>
      </c>
      <c r="P45" s="20" t="e" cm="1">
        <f t="array" aca="1" ref="P45" ca="1">_xll.BDH("DATA IN Equity","IS_EPS","FY 2017","FY 2017","Currency=INR","Period=FY","BEST_FPERIOD_OVERRIDE=FY","FILING_STATUS=MR","EQY_CONSOLIDATED=Y","FA_ADJUSTED=GAAP","Sort=A","Dates=H","DateFormat=P","Fill=—","Direction=H","UseDPDF=Y")</f>
        <v>#NAME?</v>
      </c>
      <c r="Q45" s="20" t="e" cm="1">
        <f t="array" aca="1" ref="Q45" ca="1">_xll.BDH("DATA IN Equity","IS_EPS","FY 2018","FY 2018","Currency=INR","Period=FY","BEST_FPERIOD_OVERRIDE=FY","FILING_STATUS=MR","EQY_CONSOLIDATED=Y","FA_ADJUSTED=GAAP","Sort=A","Dates=H","DateFormat=P","Fill=—","Direction=H","UseDPDF=Y")</f>
        <v>#NAME?</v>
      </c>
      <c r="R45" s="20" t="e" cm="1">
        <f t="array" aca="1" ref="R45" ca="1">_xll.BDH("DATA IN Equity","IS_EPS","FY 2019","FY 2019","Currency=INR","Period=FY","BEST_FPERIOD_OVERRIDE=FY","FILING_STATUS=MR","EQY_CONSOLIDATED=Y","FA_ADJUSTED=GAAP","Sort=A","Dates=H","DateFormat=P","Fill=—","Direction=H","UseDPDF=Y")</f>
        <v>#NAME?</v>
      </c>
      <c r="S45" s="20" t="e" cm="1">
        <f t="array" aca="1" ref="S45" ca="1">_xll.BDH("DATA IN Equity","IS_EPS","FY 2020","FY 2020","Currency=INR","Period=FY","BEST_FPERIOD_OVERRIDE=FY","FILING_STATUS=MR","EQY_CONSOLIDATED=Y","FA_ADJUSTED=GAAP","Sort=A","Dates=H","DateFormat=P","Fill=—","Direction=H","UseDPDF=Y")</f>
        <v>#NAME?</v>
      </c>
      <c r="T45" s="20" t="e" cm="1">
        <f t="array" aca="1" ref="T45" ca="1">_xll.BDH("DATA IN Equity","IS_EPS","FY 2021","FY 2021","Currency=INR","Period=FY","BEST_FPERIOD_OVERRIDE=FY","FILING_STATUS=MR","EQY_CONSOLIDATED=Y","FA_ADJUSTED=GAAP","Sort=A","Dates=H","DateFormat=P","Fill=—","Direction=H","UseDPDF=Y")</f>
        <v>#NAME?</v>
      </c>
      <c r="U45" s="20" t="e" cm="1">
        <f t="array" aca="1" ref="U45" ca="1">_xll.BDH("DATA IN Equity","IS_EPS","FY 2022","FY 2022","Currency=INR","Period=FY","BEST_FPERIOD_OVERRIDE=FY","FILING_STATUS=MR","EQY_CONSOLIDATED=Y","FA_ADJUSTED=GAAP","Sort=A","Dates=H","DateFormat=P","Fill=—","Direction=H","UseDPDF=Y")</f>
        <v>#NAME?</v>
      </c>
      <c r="V45" s="20" t="e" cm="1">
        <f t="array" aca="1" ref="V45" ca="1">_xll.BDH("DATA IN Equity","IS_EPS","FY 2023","FY 2023","Currency=INR","Period=FY","BEST_FPERIOD_OVERRIDE=FY","FILING_STATUS=MR","EQY_CONSOLIDATED=Y","FA_ADJUSTED=GAAP","Sort=A","Dates=H","DateFormat=P","Fill=—","Direction=H","UseDPDF=Y")</f>
        <v>#NAME?</v>
      </c>
      <c r="W45" s="20" t="e" cm="1">
        <f t="array" aca="1" ref="W45" ca="1">_xll.BDH("DATA IN Equity","IS_EPS","FY 2024","FY 2024","Currency=INR","Period=FY","BEST_FPERIOD_OVERRIDE=FY","FILING_STATUS=MR","EQY_CONSOLIDATED=Y","FA_ADJUSTED=GAAP","Sort=A","Dates=H","DateFormat=P","Fill=—","Direction=H","UseDPDF=Y")</f>
        <v>#NAME?</v>
      </c>
      <c r="X45" s="20" t="e" cm="1">
        <f t="array" aca="1" ref="X45" ca="1">_xll.BDH("DATA IN Equity","IS_EPS","FY 2025","FY 2025","Currency=INR","Period=FY","BEST_FPERIOD_OVERRIDE=FY","FILING_STATUS=MR","EQY_CONSOLIDATED=Y","FA_ADJUSTED=GAAP","Sort=A","Dates=H","DateFormat=P","Fill=—","Direction=H","UseDPDF=Y")</f>
        <v>#NAME?</v>
      </c>
      <c r="Y45" s="23">
        <v>32.979999999999997</v>
      </c>
      <c r="Z45" s="20">
        <v>42.2</v>
      </c>
      <c r="AA45" s="20">
        <v>48.2</v>
      </c>
    </row>
    <row r="46" spans="1:27" x14ac:dyDescent="0.2">
      <c r="A46" s="6" t="s">
        <v>190</v>
      </c>
      <c r="B46" s="6" t="s">
        <v>191</v>
      </c>
      <c r="C46" s="20" t="e" cm="1">
        <f t="array" aca="1" ref="C46" ca="1">_xll.BDH("DATA IN Equity","IS_EARN_BEF_XO_ITEMS_PER_SH","FY 2004","FY 2004","Currency=INR","Period=FY","BEST_FPERIOD_OVERRIDE=FY","FILING_STATUS=MR","EQY_CONSOLIDATED=Y","Sort=A","Dates=H","DateFormat=P","Fill=—","Direction=H","UseDPDF=Y")</f>
        <v>#NAME?</v>
      </c>
      <c r="D46" s="20" t="e" cm="1">
        <f t="array" aca="1" ref="D46" ca="1">_xll.BDH("DATA IN Equity","IS_EARN_BEF_XO_ITEMS_PER_SH","FY 2005","FY 2005","Currency=INR","Period=FY","BEST_FPERIOD_OVERRIDE=FY","FILING_STATUS=MR","EQY_CONSOLIDATED=Y","Sort=A","Dates=H","DateFormat=P","Fill=—","Direction=H","UseDPDF=Y")</f>
        <v>#NAME?</v>
      </c>
      <c r="E46" s="20" t="e" cm="1">
        <f t="array" aca="1" ref="E46" ca="1">_xll.BDH("DATA IN Equity","IS_EARN_BEF_XO_ITEMS_PER_SH","FY 2006","FY 2006","Currency=INR","Period=FY","BEST_FPERIOD_OVERRIDE=FY","FILING_STATUS=MR","EQY_CONSOLIDATED=Y","Sort=A","Dates=H","DateFormat=P","Fill=—","Direction=H","UseDPDF=Y")</f>
        <v>#NAME?</v>
      </c>
      <c r="F46" s="20" t="e" cm="1">
        <f t="array" aca="1" ref="F46" ca="1">_xll.BDH("DATA IN Equity","IS_EARN_BEF_XO_ITEMS_PER_SH","FY 2007","FY 2007","Currency=INR","Period=FY","BEST_FPERIOD_OVERRIDE=FY","FILING_STATUS=MR","EQY_CONSOLIDATED=Y","Sort=A","Dates=H","DateFormat=P","Fill=—","Direction=H","UseDPDF=Y")</f>
        <v>#NAME?</v>
      </c>
      <c r="G46" s="20" t="e" cm="1">
        <f t="array" aca="1" ref="G46" ca="1">_xll.BDH("DATA IN Equity","IS_EARN_BEF_XO_ITEMS_PER_SH","FY 2008","FY 2008","Currency=INR","Period=FY","BEST_FPERIOD_OVERRIDE=FY","FILING_STATUS=MR","EQY_CONSOLIDATED=Y","Sort=A","Dates=H","DateFormat=P","Fill=—","Direction=H","UseDPDF=Y")</f>
        <v>#NAME?</v>
      </c>
      <c r="H46" s="20" t="e" cm="1">
        <f t="array" aca="1" ref="H46" ca="1">_xll.BDH("DATA IN Equity","IS_EARN_BEF_XO_ITEMS_PER_SH","FY 2009","FY 2009","Currency=INR","Period=FY","BEST_FPERIOD_OVERRIDE=FY","FILING_STATUS=MR","EQY_CONSOLIDATED=Y","Sort=A","Dates=H","DateFormat=P","Fill=—","Direction=H","UseDPDF=Y")</f>
        <v>#NAME?</v>
      </c>
      <c r="I46" s="20" t="e" cm="1">
        <f t="array" aca="1" ref="I46" ca="1">_xll.BDH("DATA IN Equity","IS_EARN_BEF_XO_ITEMS_PER_SH","FY 2010","FY 2010","Currency=INR","Period=FY","BEST_FPERIOD_OVERRIDE=FY","FILING_STATUS=MR","EQY_CONSOLIDATED=Y","Sort=A","Dates=H","DateFormat=P","Fill=—","Direction=H","UseDPDF=Y")</f>
        <v>#NAME?</v>
      </c>
      <c r="J46" s="20" t="e" cm="1">
        <f t="array" aca="1" ref="J46" ca="1">_xll.BDH("DATA IN Equity","IS_EARN_BEF_XO_ITEMS_PER_SH","FY 2011","FY 2011","Currency=INR","Period=FY","BEST_FPERIOD_OVERRIDE=FY","FILING_STATUS=MR","EQY_CONSOLIDATED=Y","Sort=A","Dates=H","DateFormat=P","Fill=—","Direction=H","UseDPDF=Y")</f>
        <v>#NAME?</v>
      </c>
      <c r="K46" s="20" t="e" cm="1">
        <f t="array" aca="1" ref="K46" ca="1">_xll.BDH("DATA IN Equity","IS_EARN_BEF_XO_ITEMS_PER_SH","FY 2012","FY 2012","Currency=INR","Period=FY","BEST_FPERIOD_OVERRIDE=FY","FILING_STATUS=MR","EQY_CONSOLIDATED=Y","Sort=A","Dates=H","DateFormat=P","Fill=—","Direction=H","UseDPDF=Y")</f>
        <v>#NAME?</v>
      </c>
      <c r="L46" s="20" t="e" cm="1">
        <f t="array" aca="1" ref="L46" ca="1">_xll.BDH("DATA IN Equity","IS_EARN_BEF_XO_ITEMS_PER_SH","FY 2013","FY 2013","Currency=INR","Period=FY","BEST_FPERIOD_OVERRIDE=FY","FILING_STATUS=MR","EQY_CONSOLIDATED=Y","Sort=A","Dates=H","DateFormat=P","Fill=—","Direction=H","UseDPDF=Y")</f>
        <v>#NAME?</v>
      </c>
      <c r="M46" s="20" t="e" cm="1">
        <f t="array" aca="1" ref="M46" ca="1">_xll.BDH("DATA IN Equity","IS_EARN_BEF_XO_ITEMS_PER_SH","FY 2014","FY 2014","Currency=INR","Period=FY","BEST_FPERIOD_OVERRIDE=FY","FILING_STATUS=MR","EQY_CONSOLIDATED=Y","Sort=A","Dates=H","DateFormat=P","Fill=—","Direction=H","UseDPDF=Y")</f>
        <v>#NAME?</v>
      </c>
      <c r="N46" s="20" t="e" cm="1">
        <f t="array" aca="1" ref="N46" ca="1">_xll.BDH("DATA IN Equity","IS_EARN_BEF_XO_ITEMS_PER_SH","FY 2015","FY 2015","Currency=INR","Period=FY","BEST_FPERIOD_OVERRIDE=FY","FILING_STATUS=MR","EQY_CONSOLIDATED=Y","Sort=A","Dates=H","DateFormat=P","Fill=—","Direction=H","UseDPDF=Y")</f>
        <v>#NAME?</v>
      </c>
      <c r="O46" s="20" t="e" cm="1">
        <f t="array" aca="1" ref="O46" ca="1">_xll.BDH("DATA IN Equity","IS_EARN_BEF_XO_ITEMS_PER_SH","FY 2016","FY 2016","Currency=INR","Period=FY","BEST_FPERIOD_OVERRIDE=FY","FILING_STATUS=MR","EQY_CONSOLIDATED=Y","Sort=A","Dates=H","DateFormat=P","Fill=—","Direction=H","UseDPDF=Y")</f>
        <v>#NAME?</v>
      </c>
      <c r="P46" s="20" t="e" cm="1">
        <f t="array" aca="1" ref="P46" ca="1">_xll.BDH("DATA IN Equity","IS_EARN_BEF_XO_ITEMS_PER_SH","FY 2017","FY 2017","Currency=INR","Period=FY","BEST_FPERIOD_OVERRIDE=FY","FILING_STATUS=MR","EQY_CONSOLIDATED=Y","Sort=A","Dates=H","DateFormat=P","Fill=—","Direction=H","UseDPDF=Y")</f>
        <v>#NAME?</v>
      </c>
      <c r="Q46" s="20" t="e" cm="1">
        <f t="array" aca="1" ref="Q46" ca="1">_xll.BDH("DATA IN Equity","IS_EARN_BEF_XO_ITEMS_PER_SH","FY 2018","FY 2018","Currency=INR","Period=FY","BEST_FPERIOD_OVERRIDE=FY","FILING_STATUS=MR","EQY_CONSOLIDATED=Y","Sort=A","Dates=H","DateFormat=P","Fill=—","Direction=H","UseDPDF=Y")</f>
        <v>#NAME?</v>
      </c>
      <c r="R46" s="20" t="e" cm="1">
        <f t="array" aca="1" ref="R46" ca="1">_xll.BDH("DATA IN Equity","IS_EARN_BEF_XO_ITEMS_PER_SH","FY 2019","FY 2019","Currency=INR","Period=FY","BEST_FPERIOD_OVERRIDE=FY","FILING_STATUS=MR","EQY_CONSOLIDATED=Y","Sort=A","Dates=H","DateFormat=P","Fill=—","Direction=H","UseDPDF=Y")</f>
        <v>#NAME?</v>
      </c>
      <c r="S46" s="20" t="e" cm="1">
        <f t="array" aca="1" ref="S46" ca="1">_xll.BDH("DATA IN Equity","IS_EARN_BEF_XO_ITEMS_PER_SH","FY 2020","FY 2020","Currency=INR","Period=FY","BEST_FPERIOD_OVERRIDE=FY","FILING_STATUS=MR","EQY_CONSOLIDATED=Y","Sort=A","Dates=H","DateFormat=P","Fill=—","Direction=H","UseDPDF=Y")</f>
        <v>#NAME?</v>
      </c>
      <c r="T46" s="20" t="e" cm="1">
        <f t="array" aca="1" ref="T46" ca="1">_xll.BDH("DATA IN Equity","IS_EARN_BEF_XO_ITEMS_PER_SH","FY 2021","FY 2021","Currency=INR","Period=FY","BEST_FPERIOD_OVERRIDE=FY","FILING_STATUS=MR","EQY_CONSOLIDATED=Y","Sort=A","Dates=H","DateFormat=P","Fill=—","Direction=H","UseDPDF=Y")</f>
        <v>#NAME?</v>
      </c>
      <c r="U46" s="20" t="e" cm="1">
        <f t="array" aca="1" ref="U46" ca="1">_xll.BDH("DATA IN Equity","IS_EARN_BEF_XO_ITEMS_PER_SH","FY 2022","FY 2022","Currency=INR","Period=FY","BEST_FPERIOD_OVERRIDE=FY","FILING_STATUS=MR","EQY_CONSOLIDATED=Y","Sort=A","Dates=H","DateFormat=P","Fill=—","Direction=H","UseDPDF=Y")</f>
        <v>#NAME?</v>
      </c>
      <c r="V46" s="20" t="e" cm="1">
        <f t="array" aca="1" ref="V46" ca="1">_xll.BDH("DATA IN Equity","IS_EARN_BEF_XO_ITEMS_PER_SH","FY 2023","FY 2023","Currency=INR","Period=FY","BEST_FPERIOD_OVERRIDE=FY","FILING_STATUS=MR","EQY_CONSOLIDATED=Y","Sort=A","Dates=H","DateFormat=P","Fill=—","Direction=H","UseDPDF=Y")</f>
        <v>#NAME?</v>
      </c>
      <c r="W46" s="20" t="e" cm="1">
        <f t="array" aca="1" ref="W46" ca="1">_xll.BDH("DATA IN Equity","IS_EARN_BEF_XO_ITEMS_PER_SH","FY 2024","FY 2024","Currency=INR","Period=FY","BEST_FPERIOD_OVERRIDE=FY","FILING_STATUS=MR","EQY_CONSOLIDATED=Y","Sort=A","Dates=H","DateFormat=P","Fill=—","Direction=H","UseDPDF=Y")</f>
        <v>#NAME?</v>
      </c>
      <c r="X46" s="20" t="e" cm="1">
        <f t="array" aca="1" ref="X46" ca="1">_xll.BDH("DATA IN Equity","IS_EARN_BEF_XO_ITEMS_PER_SH","FY 2025","FY 2025","Currency=INR","Period=FY","BEST_FPERIOD_OVERRIDE=FY","FILING_STATUS=MR","EQY_CONSOLIDATED=Y","Sort=A","Dates=H","DateFormat=P","Fill=—","Direction=H","UseDPDF=Y")</f>
        <v>#NAME?</v>
      </c>
      <c r="Y46" s="23">
        <v>32.979999999999997</v>
      </c>
      <c r="Z46" s="20">
        <v>42.2</v>
      </c>
      <c r="AA46" s="20">
        <v>48.2</v>
      </c>
    </row>
    <row r="47" spans="1:27" x14ac:dyDescent="0.2">
      <c r="A47" s="6" t="s">
        <v>192</v>
      </c>
      <c r="B47" s="6" t="s">
        <v>193</v>
      </c>
      <c r="C47" s="20" t="e" cm="1">
        <f t="array" aca="1" ref="C47" ca="1">_xll.BDH("DATA IN Equity","IS_BASIC_EPS_CONT_OPS","FY 2004","FY 2004","Currency=INR","Period=FY","BEST_FPERIOD_OVERRIDE=FY","FILING_STATUS=MR","EQY_CONSOLIDATED=Y","Sort=A","Dates=H","DateFormat=P","Fill=—","Direction=H","UseDPDF=Y")</f>
        <v>#NAME?</v>
      </c>
      <c r="D47" s="20" t="e" cm="1">
        <f t="array" aca="1" ref="D47" ca="1">_xll.BDH("DATA IN Equity","IS_BASIC_EPS_CONT_OPS","FY 2005","FY 2005","Currency=INR","Period=FY","BEST_FPERIOD_OVERRIDE=FY","FILING_STATUS=MR","EQY_CONSOLIDATED=Y","Sort=A","Dates=H","DateFormat=P","Fill=—","Direction=H","UseDPDF=Y")</f>
        <v>#NAME?</v>
      </c>
      <c r="E47" s="20" t="e" cm="1">
        <f t="array" aca="1" ref="E47" ca="1">_xll.BDH("DATA IN Equity","IS_BASIC_EPS_CONT_OPS","FY 2006","FY 2006","Currency=INR","Period=FY","BEST_FPERIOD_OVERRIDE=FY","FILING_STATUS=MR","EQY_CONSOLIDATED=Y","Sort=A","Dates=H","DateFormat=P","Fill=—","Direction=H","UseDPDF=Y")</f>
        <v>#NAME?</v>
      </c>
      <c r="F47" s="20" t="e" cm="1">
        <f t="array" aca="1" ref="F47" ca="1">_xll.BDH("DATA IN Equity","IS_BASIC_EPS_CONT_OPS","FY 2007","FY 2007","Currency=INR","Period=FY","BEST_FPERIOD_OVERRIDE=FY","FILING_STATUS=MR","EQY_CONSOLIDATED=Y","Sort=A","Dates=H","DateFormat=P","Fill=—","Direction=H","UseDPDF=Y")</f>
        <v>#NAME?</v>
      </c>
      <c r="G47" s="20" t="e" cm="1">
        <f t="array" aca="1" ref="G47" ca="1">_xll.BDH("DATA IN Equity","IS_BASIC_EPS_CONT_OPS","FY 2008","FY 2008","Currency=INR","Period=FY","BEST_FPERIOD_OVERRIDE=FY","FILING_STATUS=MR","EQY_CONSOLIDATED=Y","Sort=A","Dates=H","DateFormat=P","Fill=—","Direction=H","UseDPDF=Y")</f>
        <v>#NAME?</v>
      </c>
      <c r="H47" s="20" t="e" cm="1">
        <f t="array" aca="1" ref="H47" ca="1">_xll.BDH("DATA IN Equity","IS_BASIC_EPS_CONT_OPS","FY 2009","FY 2009","Currency=INR","Period=FY","BEST_FPERIOD_OVERRIDE=FY","FILING_STATUS=MR","EQY_CONSOLIDATED=Y","Sort=A","Dates=H","DateFormat=P","Fill=—","Direction=H","UseDPDF=Y")</f>
        <v>#NAME?</v>
      </c>
      <c r="I47" s="20" t="e" cm="1">
        <f t="array" aca="1" ref="I47" ca="1">_xll.BDH("DATA IN Equity","IS_BASIC_EPS_CONT_OPS","FY 2010","FY 2010","Currency=INR","Period=FY","BEST_FPERIOD_OVERRIDE=FY","FILING_STATUS=MR","EQY_CONSOLIDATED=Y","Sort=A","Dates=H","DateFormat=P","Fill=—","Direction=H","UseDPDF=Y")</f>
        <v>#NAME?</v>
      </c>
      <c r="J47" s="20" t="e" cm="1">
        <f t="array" aca="1" ref="J47" ca="1">_xll.BDH("DATA IN Equity","IS_BASIC_EPS_CONT_OPS","FY 2011","FY 2011","Currency=INR","Period=FY","BEST_FPERIOD_OVERRIDE=FY","FILING_STATUS=MR","EQY_CONSOLIDATED=Y","Sort=A","Dates=H","DateFormat=P","Fill=—","Direction=H","UseDPDF=Y")</f>
        <v>#NAME?</v>
      </c>
      <c r="K47" s="20" t="e" cm="1">
        <f t="array" aca="1" ref="K47" ca="1">_xll.BDH("DATA IN Equity","IS_BASIC_EPS_CONT_OPS","FY 2012","FY 2012","Currency=INR","Period=FY","BEST_FPERIOD_OVERRIDE=FY","FILING_STATUS=MR","EQY_CONSOLIDATED=Y","Sort=A","Dates=H","DateFormat=P","Fill=—","Direction=H","UseDPDF=Y")</f>
        <v>#NAME?</v>
      </c>
      <c r="L47" s="20" t="e" cm="1">
        <f t="array" aca="1" ref="L47" ca="1">_xll.BDH("DATA IN Equity","IS_BASIC_EPS_CONT_OPS","FY 2013","FY 2013","Currency=INR","Period=FY","BEST_FPERIOD_OVERRIDE=FY","FILING_STATUS=MR","EQY_CONSOLIDATED=Y","Sort=A","Dates=H","DateFormat=P","Fill=—","Direction=H","UseDPDF=Y")</f>
        <v>#NAME?</v>
      </c>
      <c r="M47" s="20" t="e" cm="1">
        <f t="array" aca="1" ref="M47" ca="1">_xll.BDH("DATA IN Equity","IS_BASIC_EPS_CONT_OPS","FY 2014","FY 2014","Currency=INR","Period=FY","BEST_FPERIOD_OVERRIDE=FY","FILING_STATUS=MR","EQY_CONSOLIDATED=Y","Sort=A","Dates=H","DateFormat=P","Fill=—","Direction=H","UseDPDF=Y")</f>
        <v>#NAME?</v>
      </c>
      <c r="N47" s="20" t="e" cm="1">
        <f t="array" aca="1" ref="N47" ca="1">_xll.BDH("DATA IN Equity","IS_BASIC_EPS_CONT_OPS","FY 2015","FY 2015","Currency=INR","Period=FY","BEST_FPERIOD_OVERRIDE=FY","FILING_STATUS=MR","EQY_CONSOLIDATED=Y","Sort=A","Dates=H","DateFormat=P","Fill=—","Direction=H","UseDPDF=Y")</f>
        <v>#NAME?</v>
      </c>
      <c r="O47" s="20" t="e" cm="1">
        <f t="array" aca="1" ref="O47" ca="1">_xll.BDH("DATA IN Equity","IS_BASIC_EPS_CONT_OPS","FY 2016","FY 2016","Currency=INR","Period=FY","BEST_FPERIOD_OVERRIDE=FY","FILING_STATUS=MR","EQY_CONSOLIDATED=Y","Sort=A","Dates=H","DateFormat=P","Fill=—","Direction=H","UseDPDF=Y")</f>
        <v>#NAME?</v>
      </c>
      <c r="P47" s="20" t="e" cm="1">
        <f t="array" aca="1" ref="P47" ca="1">_xll.BDH("DATA IN Equity","IS_BASIC_EPS_CONT_OPS","FY 2017","FY 2017","Currency=INR","Period=FY","BEST_FPERIOD_OVERRIDE=FY","FILING_STATUS=MR","EQY_CONSOLIDATED=Y","Sort=A","Dates=H","DateFormat=P","Fill=—","Direction=H","UseDPDF=Y")</f>
        <v>#NAME?</v>
      </c>
      <c r="Q47" s="20" t="e" cm="1">
        <f t="array" aca="1" ref="Q47" ca="1">_xll.BDH("DATA IN Equity","IS_BASIC_EPS_CONT_OPS","FY 2018","FY 2018","Currency=INR","Period=FY","BEST_FPERIOD_OVERRIDE=FY","FILING_STATUS=MR","EQY_CONSOLIDATED=Y","Sort=A","Dates=H","DateFormat=P","Fill=—","Direction=H","UseDPDF=Y")</f>
        <v>#NAME?</v>
      </c>
      <c r="R47" s="20" t="e" cm="1">
        <f t="array" aca="1" ref="R47" ca="1">_xll.BDH("DATA IN Equity","IS_BASIC_EPS_CONT_OPS","FY 2019","FY 2019","Currency=INR","Period=FY","BEST_FPERIOD_OVERRIDE=FY","FILING_STATUS=MR","EQY_CONSOLIDATED=Y","Sort=A","Dates=H","DateFormat=P","Fill=—","Direction=H","UseDPDF=Y")</f>
        <v>#NAME?</v>
      </c>
      <c r="S47" s="20" t="e" cm="1">
        <f t="array" aca="1" ref="S47" ca="1">_xll.BDH("DATA IN Equity","IS_BASIC_EPS_CONT_OPS","FY 2020","FY 2020","Currency=INR","Period=FY","BEST_FPERIOD_OVERRIDE=FY","FILING_STATUS=MR","EQY_CONSOLIDATED=Y","Sort=A","Dates=H","DateFormat=P","Fill=—","Direction=H","UseDPDF=Y")</f>
        <v>#NAME?</v>
      </c>
      <c r="T47" s="20" t="e" cm="1">
        <f t="array" aca="1" ref="T47" ca="1">_xll.BDH("DATA IN Equity","IS_BASIC_EPS_CONT_OPS","FY 2021","FY 2021","Currency=INR","Period=FY","BEST_FPERIOD_OVERRIDE=FY","FILING_STATUS=MR","EQY_CONSOLIDATED=Y","Sort=A","Dates=H","DateFormat=P","Fill=—","Direction=H","UseDPDF=Y")</f>
        <v>#NAME?</v>
      </c>
      <c r="U47" s="20" t="e" cm="1">
        <f t="array" aca="1" ref="U47" ca="1">_xll.BDH("DATA IN Equity","IS_BASIC_EPS_CONT_OPS","FY 2022","FY 2022","Currency=INR","Period=FY","BEST_FPERIOD_OVERRIDE=FY","FILING_STATUS=MR","EQY_CONSOLIDATED=Y","Sort=A","Dates=H","DateFormat=P","Fill=—","Direction=H","UseDPDF=Y")</f>
        <v>#NAME?</v>
      </c>
      <c r="V47" s="20" t="e" cm="1">
        <f t="array" aca="1" ref="V47" ca="1">_xll.BDH("DATA IN Equity","IS_BASIC_EPS_CONT_OPS","FY 2023","FY 2023","Currency=INR","Period=FY","BEST_FPERIOD_OVERRIDE=FY","FILING_STATUS=MR","EQY_CONSOLIDATED=Y","Sort=A","Dates=H","DateFormat=P","Fill=—","Direction=H","UseDPDF=Y")</f>
        <v>#NAME?</v>
      </c>
      <c r="W47" s="20" t="e" cm="1">
        <f t="array" aca="1" ref="W47" ca="1">_xll.BDH("DATA IN Equity","IS_BASIC_EPS_CONT_OPS","FY 2024","FY 2024","Currency=INR","Period=FY","BEST_FPERIOD_OVERRIDE=FY","FILING_STATUS=MR","EQY_CONSOLIDATED=Y","Sort=A","Dates=H","DateFormat=P","Fill=—","Direction=H","UseDPDF=Y")</f>
        <v>#NAME?</v>
      </c>
      <c r="X47" s="20" t="e" cm="1">
        <f t="array" aca="1" ref="X47" ca="1">_xll.BDH("DATA IN Equity","IS_BASIC_EPS_CONT_OPS","FY 2025","FY 2025","Currency=INR","Period=FY","BEST_FPERIOD_OVERRIDE=FY","FILING_STATUS=MR","EQY_CONSOLIDATED=Y","Sort=A","Dates=H","DateFormat=P","Fill=—","Direction=H","UseDPDF=Y")</f>
        <v>#NAME?</v>
      </c>
      <c r="Y47" s="23">
        <v>28.208324999999999</v>
      </c>
      <c r="Z47" s="20">
        <v>42.2</v>
      </c>
      <c r="AA47" s="20">
        <v>48.2</v>
      </c>
    </row>
    <row r="48" spans="1:27" x14ac:dyDescent="0.2">
      <c r="A48" s="6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1"/>
      <c r="Z48" s="18"/>
      <c r="AA48" s="18"/>
    </row>
    <row r="49" spans="1:27" x14ac:dyDescent="0.2">
      <c r="A49" s="10" t="s">
        <v>194</v>
      </c>
      <c r="B49" s="10" t="s">
        <v>195</v>
      </c>
      <c r="C49" s="13" t="e" cm="1">
        <f t="array" aca="1" ref="C49" ca="1">_xll.BDH("DATA IN Equity","IS_SH_FOR_DILUTED_EPS","FY 2004","FY 2004","Currency=INR","Period=FY","BEST_FPERIOD_OVERRIDE=FY","FILING_STATUS=MR","EQY_CONSOLIDATED=Y","Sort=A","Dates=H","DateFormat=P","Fill=—","Direction=H","UseDPDF=Y")</f>
        <v>#NAME?</v>
      </c>
      <c r="D49" s="13" t="e" cm="1">
        <f t="array" aca="1" ref="D49" ca="1">_xll.BDH("DATA IN Equity","IS_SH_FOR_DILUTED_EPS","FY 2005","FY 2005","Currency=INR","Period=FY","BEST_FPERIOD_OVERRIDE=FY","FILING_STATUS=MR","EQY_CONSOLIDATED=Y","Sort=A","Dates=H","DateFormat=P","Fill=—","Direction=H","UseDPDF=Y")</f>
        <v>#NAME?</v>
      </c>
      <c r="E49" s="13" t="e" cm="1">
        <f t="array" aca="1" ref="E49" ca="1">_xll.BDH("DATA IN Equity","IS_SH_FOR_DILUTED_EPS","FY 2006","FY 2006","Currency=INR","Period=FY","BEST_FPERIOD_OVERRIDE=FY","FILING_STATUS=MR","EQY_CONSOLIDATED=Y","Sort=A","Dates=H","DateFormat=P","Fill=—","Direction=H","UseDPDF=Y")</f>
        <v>#NAME?</v>
      </c>
      <c r="F49" s="13" t="e" cm="1">
        <f t="array" aca="1" ref="F49" ca="1">_xll.BDH("DATA IN Equity","IS_SH_FOR_DILUTED_EPS","FY 2007","FY 2007","Currency=INR","Period=FY","BEST_FPERIOD_OVERRIDE=FY","FILING_STATUS=MR","EQY_CONSOLIDATED=Y","Sort=A","Dates=H","DateFormat=P","Fill=—","Direction=H","UseDPDF=Y")</f>
        <v>#NAME?</v>
      </c>
      <c r="G49" s="13" t="e" cm="1">
        <f t="array" aca="1" ref="G49" ca="1">_xll.BDH("DATA IN Equity","IS_SH_FOR_DILUTED_EPS","FY 2008","FY 2008","Currency=INR","Period=FY","BEST_FPERIOD_OVERRIDE=FY","FILING_STATUS=MR","EQY_CONSOLIDATED=Y","Sort=A","Dates=H","DateFormat=P","Fill=—","Direction=H","UseDPDF=Y")</f>
        <v>#NAME?</v>
      </c>
      <c r="H49" s="13" t="e" cm="1">
        <f t="array" aca="1" ref="H49" ca="1">_xll.BDH("DATA IN Equity","IS_SH_FOR_DILUTED_EPS","FY 2009","FY 2009","Currency=INR","Period=FY","BEST_FPERIOD_OVERRIDE=FY","FILING_STATUS=MR","EQY_CONSOLIDATED=Y","Sort=A","Dates=H","DateFormat=P","Fill=—","Direction=H","UseDPDF=Y")</f>
        <v>#NAME?</v>
      </c>
      <c r="I49" s="13" t="e" cm="1">
        <f t="array" aca="1" ref="I49" ca="1">_xll.BDH("DATA IN Equity","IS_SH_FOR_DILUTED_EPS","FY 2010","FY 2010","Currency=INR","Period=FY","BEST_FPERIOD_OVERRIDE=FY","FILING_STATUS=MR","EQY_CONSOLIDATED=Y","Sort=A","Dates=H","DateFormat=P","Fill=—","Direction=H","UseDPDF=Y")</f>
        <v>#NAME?</v>
      </c>
      <c r="J49" s="13" t="e" cm="1">
        <f t="array" aca="1" ref="J49" ca="1">_xll.BDH("DATA IN Equity","IS_SH_FOR_DILUTED_EPS","FY 2011","FY 2011","Currency=INR","Period=FY","BEST_FPERIOD_OVERRIDE=FY","FILING_STATUS=MR","EQY_CONSOLIDATED=Y","Sort=A","Dates=H","DateFormat=P","Fill=—","Direction=H","UseDPDF=Y")</f>
        <v>#NAME?</v>
      </c>
      <c r="K49" s="13" t="e" cm="1">
        <f t="array" aca="1" ref="K49" ca="1">_xll.BDH("DATA IN Equity","IS_SH_FOR_DILUTED_EPS","FY 2012","FY 2012","Currency=INR","Period=FY","BEST_FPERIOD_OVERRIDE=FY","FILING_STATUS=MR","EQY_CONSOLIDATED=Y","Sort=A","Dates=H","DateFormat=P","Fill=—","Direction=H","UseDPDF=Y")</f>
        <v>#NAME?</v>
      </c>
      <c r="L49" s="13" t="e" cm="1">
        <f t="array" aca="1" ref="L49" ca="1">_xll.BDH("DATA IN Equity","IS_SH_FOR_DILUTED_EPS","FY 2013","FY 2013","Currency=INR","Period=FY","BEST_FPERIOD_OVERRIDE=FY","FILING_STATUS=MR","EQY_CONSOLIDATED=Y","Sort=A","Dates=H","DateFormat=P","Fill=—","Direction=H","UseDPDF=Y")</f>
        <v>#NAME?</v>
      </c>
      <c r="M49" s="13" t="e" cm="1">
        <f t="array" aca="1" ref="M49" ca="1">_xll.BDH("DATA IN Equity","IS_SH_FOR_DILUTED_EPS","FY 2014","FY 2014","Currency=INR","Period=FY","BEST_FPERIOD_OVERRIDE=FY","FILING_STATUS=MR","EQY_CONSOLIDATED=Y","Sort=A","Dates=H","DateFormat=P","Fill=—","Direction=H","UseDPDF=Y")</f>
        <v>#NAME?</v>
      </c>
      <c r="N49" s="13" t="e" cm="1">
        <f t="array" aca="1" ref="N49" ca="1">_xll.BDH("DATA IN Equity","IS_SH_FOR_DILUTED_EPS","FY 2015","FY 2015","Currency=INR","Period=FY","BEST_FPERIOD_OVERRIDE=FY","FILING_STATUS=MR","EQY_CONSOLIDATED=Y","Sort=A","Dates=H","DateFormat=P","Fill=—","Direction=H","UseDPDF=Y")</f>
        <v>#NAME?</v>
      </c>
      <c r="O49" s="13" t="e" cm="1">
        <f t="array" aca="1" ref="O49" ca="1">_xll.BDH("DATA IN Equity","IS_SH_FOR_DILUTED_EPS","FY 2016","FY 2016","Currency=INR","Period=FY","BEST_FPERIOD_OVERRIDE=FY","FILING_STATUS=MR","EQY_CONSOLIDATED=Y","Sort=A","Dates=H","DateFormat=P","Fill=—","Direction=H","UseDPDF=Y")</f>
        <v>#NAME?</v>
      </c>
      <c r="P49" s="13" t="e" cm="1">
        <f t="array" aca="1" ref="P49" ca="1">_xll.BDH("DATA IN Equity","IS_SH_FOR_DILUTED_EPS","FY 2017","FY 2017","Currency=INR","Period=FY","BEST_FPERIOD_OVERRIDE=FY","FILING_STATUS=MR","EQY_CONSOLIDATED=Y","Sort=A","Dates=H","DateFormat=P","Fill=—","Direction=H","UseDPDF=Y")</f>
        <v>#NAME?</v>
      </c>
      <c r="Q49" s="13" t="e" cm="1">
        <f t="array" aca="1" ref="Q49" ca="1">_xll.BDH("DATA IN Equity","IS_SH_FOR_DILUTED_EPS","FY 2018","FY 2018","Currency=INR","Period=FY","BEST_FPERIOD_OVERRIDE=FY","FILING_STATUS=MR","EQY_CONSOLIDATED=Y","Sort=A","Dates=H","DateFormat=P","Fill=—","Direction=H","UseDPDF=Y")</f>
        <v>#NAME?</v>
      </c>
      <c r="R49" s="13" t="e" cm="1">
        <f t="array" aca="1" ref="R49" ca="1">_xll.BDH("DATA IN Equity","IS_SH_FOR_DILUTED_EPS","FY 2019","FY 2019","Currency=INR","Period=FY","BEST_FPERIOD_OVERRIDE=FY","FILING_STATUS=MR","EQY_CONSOLIDATED=Y","Sort=A","Dates=H","DateFormat=P","Fill=—","Direction=H","UseDPDF=Y")</f>
        <v>#NAME?</v>
      </c>
      <c r="S49" s="13" t="e" cm="1">
        <f t="array" aca="1" ref="S49" ca="1">_xll.BDH("DATA IN Equity","IS_SH_FOR_DILUTED_EPS","FY 2020","FY 2020","Currency=INR","Period=FY","BEST_FPERIOD_OVERRIDE=FY","FILING_STATUS=MR","EQY_CONSOLIDATED=Y","Sort=A","Dates=H","DateFormat=P","Fill=—","Direction=H","UseDPDF=Y")</f>
        <v>#NAME?</v>
      </c>
      <c r="T49" s="13" t="e" cm="1">
        <f t="array" aca="1" ref="T49" ca="1">_xll.BDH("DATA IN Equity","IS_SH_FOR_DILUTED_EPS","FY 2021","FY 2021","Currency=INR","Period=FY","BEST_FPERIOD_OVERRIDE=FY","FILING_STATUS=MR","EQY_CONSOLIDATED=Y","Sort=A","Dates=H","DateFormat=P","Fill=—","Direction=H","UseDPDF=Y")</f>
        <v>#NAME?</v>
      </c>
      <c r="U49" s="13" t="e" cm="1">
        <f t="array" aca="1" ref="U49" ca="1">_xll.BDH("DATA IN Equity","IS_SH_FOR_DILUTED_EPS","FY 2022","FY 2022","Currency=INR","Period=FY","BEST_FPERIOD_OVERRIDE=FY","FILING_STATUS=MR","EQY_CONSOLIDATED=Y","Sort=A","Dates=H","DateFormat=P","Fill=—","Direction=H","UseDPDF=Y")</f>
        <v>#NAME?</v>
      </c>
      <c r="V49" s="13" t="e" cm="1">
        <f t="array" aca="1" ref="V49" ca="1">_xll.BDH("DATA IN Equity","IS_SH_FOR_DILUTED_EPS","FY 2023","FY 2023","Currency=INR","Period=FY","BEST_FPERIOD_OVERRIDE=FY","FILING_STATUS=MR","EQY_CONSOLIDATED=Y","Sort=A","Dates=H","DateFormat=P","Fill=—","Direction=H","UseDPDF=Y")</f>
        <v>#NAME?</v>
      </c>
      <c r="W49" s="13" t="e" cm="1">
        <f t="array" aca="1" ref="W49" ca="1">_xll.BDH("DATA IN Equity","IS_SH_FOR_DILUTED_EPS","FY 2024","FY 2024","Currency=INR","Period=FY","BEST_FPERIOD_OVERRIDE=FY","FILING_STATUS=MR","EQY_CONSOLIDATED=Y","Sort=A","Dates=H","DateFormat=P","Fill=—","Direction=H","UseDPDF=Y")</f>
        <v>#NAME?</v>
      </c>
      <c r="X49" s="13" t="e" cm="1">
        <f t="array" aca="1" ref="X49" ca="1">_xll.BDH("DATA IN Equity","IS_SH_FOR_DILUTED_EPS","FY 2025","FY 2025","Currency=INR","Period=FY","BEST_FPERIOD_OVERRIDE=FY","FILING_STATUS=MR","EQY_CONSOLIDATED=Y","Sort=A","Dates=H","DateFormat=P","Fill=—","Direction=H","UseDPDF=Y")</f>
        <v>#NAME?</v>
      </c>
      <c r="Y49" s="16">
        <v>59.1</v>
      </c>
      <c r="Z49" s="13"/>
      <c r="AA49" s="13"/>
    </row>
    <row r="50" spans="1:27" x14ac:dyDescent="0.2">
      <c r="A50" s="6" t="s">
        <v>196</v>
      </c>
      <c r="B50" s="6" t="s">
        <v>197</v>
      </c>
      <c r="C50" s="20" t="e" cm="1">
        <f t="array" aca="1" ref="C50" ca="1">_xll.BDH("DATA IN Equity","IS_DILUTED_EPS","FY 2004","FY 2004","Currency=INR","Period=FY","BEST_FPERIOD_OVERRIDE=FY","FILING_STATUS=MR","EQY_CONSOLIDATED=Y","FA_ADJUSTED=GAAP","Sort=A","Dates=H","DateFormat=P","Fill=—","Direction=H","UseDPDF=Y")</f>
        <v>#NAME?</v>
      </c>
      <c r="D50" s="20" t="e" cm="1">
        <f t="array" aca="1" ref="D50" ca="1">_xll.BDH("DATA IN Equity","IS_DILUTED_EPS","FY 2005","FY 2005","Currency=INR","Period=FY","BEST_FPERIOD_OVERRIDE=FY","FILING_STATUS=MR","EQY_CONSOLIDATED=Y","FA_ADJUSTED=GAAP","Sort=A","Dates=H","DateFormat=P","Fill=—","Direction=H","UseDPDF=Y")</f>
        <v>#NAME?</v>
      </c>
      <c r="E50" s="20" t="e" cm="1">
        <f t="array" aca="1" ref="E50" ca="1">_xll.BDH("DATA IN Equity","IS_DILUTED_EPS","FY 2006","FY 2006","Currency=INR","Period=FY","BEST_FPERIOD_OVERRIDE=FY","FILING_STATUS=MR","EQY_CONSOLIDATED=Y","FA_ADJUSTED=GAAP","Sort=A","Dates=H","DateFormat=P","Fill=—","Direction=H","UseDPDF=Y")</f>
        <v>#NAME?</v>
      </c>
      <c r="F50" s="20" t="e" cm="1">
        <f t="array" aca="1" ref="F50" ca="1">_xll.BDH("DATA IN Equity","IS_DILUTED_EPS","FY 2007","FY 2007","Currency=INR","Period=FY","BEST_FPERIOD_OVERRIDE=FY","FILING_STATUS=MR","EQY_CONSOLIDATED=Y","FA_ADJUSTED=GAAP","Sort=A","Dates=H","DateFormat=P","Fill=—","Direction=H","UseDPDF=Y")</f>
        <v>#NAME?</v>
      </c>
      <c r="G50" s="20" t="e" cm="1">
        <f t="array" aca="1" ref="G50" ca="1">_xll.BDH("DATA IN Equity","IS_DILUTED_EPS","FY 2008","FY 2008","Currency=INR","Period=FY","BEST_FPERIOD_OVERRIDE=FY","FILING_STATUS=MR","EQY_CONSOLIDATED=Y","FA_ADJUSTED=GAAP","Sort=A","Dates=H","DateFormat=P","Fill=—","Direction=H","UseDPDF=Y")</f>
        <v>#NAME?</v>
      </c>
      <c r="H50" s="20" t="e" cm="1">
        <f t="array" aca="1" ref="H50" ca="1">_xll.BDH("DATA IN Equity","IS_DILUTED_EPS","FY 2009","FY 2009","Currency=INR","Period=FY","BEST_FPERIOD_OVERRIDE=FY","FILING_STATUS=MR","EQY_CONSOLIDATED=Y","FA_ADJUSTED=GAAP","Sort=A","Dates=H","DateFormat=P","Fill=—","Direction=H","UseDPDF=Y")</f>
        <v>#NAME?</v>
      </c>
      <c r="I50" s="20" t="e" cm="1">
        <f t="array" aca="1" ref="I50" ca="1">_xll.BDH("DATA IN Equity","IS_DILUTED_EPS","FY 2010","FY 2010","Currency=INR","Period=FY","BEST_FPERIOD_OVERRIDE=FY","FILING_STATUS=MR","EQY_CONSOLIDATED=Y","FA_ADJUSTED=GAAP","Sort=A","Dates=H","DateFormat=P","Fill=—","Direction=H","UseDPDF=Y")</f>
        <v>#NAME?</v>
      </c>
      <c r="J50" s="20" t="e" cm="1">
        <f t="array" aca="1" ref="J50" ca="1">_xll.BDH("DATA IN Equity","IS_DILUTED_EPS","FY 2011","FY 2011","Currency=INR","Period=FY","BEST_FPERIOD_OVERRIDE=FY","FILING_STATUS=MR","EQY_CONSOLIDATED=Y","FA_ADJUSTED=GAAP","Sort=A","Dates=H","DateFormat=P","Fill=—","Direction=H","UseDPDF=Y")</f>
        <v>#NAME?</v>
      </c>
      <c r="K50" s="20" t="e" cm="1">
        <f t="array" aca="1" ref="K50" ca="1">_xll.BDH("DATA IN Equity","IS_DILUTED_EPS","FY 2012","FY 2012","Currency=INR","Period=FY","BEST_FPERIOD_OVERRIDE=FY","FILING_STATUS=MR","EQY_CONSOLIDATED=Y","FA_ADJUSTED=GAAP","Sort=A","Dates=H","DateFormat=P","Fill=—","Direction=H","UseDPDF=Y")</f>
        <v>#NAME?</v>
      </c>
      <c r="L50" s="20" t="e" cm="1">
        <f t="array" aca="1" ref="L50" ca="1">_xll.BDH("DATA IN Equity","IS_DILUTED_EPS","FY 2013","FY 2013","Currency=INR","Period=FY","BEST_FPERIOD_OVERRIDE=FY","FILING_STATUS=MR","EQY_CONSOLIDATED=Y","FA_ADJUSTED=GAAP","Sort=A","Dates=H","DateFormat=P","Fill=—","Direction=H","UseDPDF=Y")</f>
        <v>#NAME?</v>
      </c>
      <c r="M50" s="20" t="e" cm="1">
        <f t="array" aca="1" ref="M50" ca="1">_xll.BDH("DATA IN Equity","IS_DILUTED_EPS","FY 2014","FY 2014","Currency=INR","Period=FY","BEST_FPERIOD_OVERRIDE=FY","FILING_STATUS=MR","EQY_CONSOLIDATED=Y","FA_ADJUSTED=GAAP","Sort=A","Dates=H","DateFormat=P","Fill=—","Direction=H","UseDPDF=Y")</f>
        <v>#NAME?</v>
      </c>
      <c r="N50" s="20" t="e" cm="1">
        <f t="array" aca="1" ref="N50" ca="1">_xll.BDH("DATA IN Equity","IS_DILUTED_EPS","FY 2015","FY 2015","Currency=INR","Period=FY","BEST_FPERIOD_OVERRIDE=FY","FILING_STATUS=MR","EQY_CONSOLIDATED=Y","FA_ADJUSTED=GAAP","Sort=A","Dates=H","DateFormat=P","Fill=—","Direction=H","UseDPDF=Y")</f>
        <v>#NAME?</v>
      </c>
      <c r="O50" s="20" t="e" cm="1">
        <f t="array" aca="1" ref="O50" ca="1">_xll.BDH("DATA IN Equity","IS_DILUTED_EPS","FY 2016","FY 2016","Currency=INR","Period=FY","BEST_FPERIOD_OVERRIDE=FY","FILING_STATUS=MR","EQY_CONSOLIDATED=Y","FA_ADJUSTED=GAAP","Sort=A","Dates=H","DateFormat=P","Fill=—","Direction=H","UseDPDF=Y")</f>
        <v>#NAME?</v>
      </c>
      <c r="P50" s="20" t="e" cm="1">
        <f t="array" aca="1" ref="P50" ca="1">_xll.BDH("DATA IN Equity","IS_DILUTED_EPS","FY 2017","FY 2017","Currency=INR","Period=FY","BEST_FPERIOD_OVERRIDE=FY","FILING_STATUS=MR","EQY_CONSOLIDATED=Y","FA_ADJUSTED=GAAP","Sort=A","Dates=H","DateFormat=P","Fill=—","Direction=H","UseDPDF=Y")</f>
        <v>#NAME?</v>
      </c>
      <c r="Q50" s="20" t="e" cm="1">
        <f t="array" aca="1" ref="Q50" ca="1">_xll.BDH("DATA IN Equity","IS_DILUTED_EPS","FY 2018","FY 2018","Currency=INR","Period=FY","BEST_FPERIOD_OVERRIDE=FY","FILING_STATUS=MR","EQY_CONSOLIDATED=Y","FA_ADJUSTED=GAAP","Sort=A","Dates=H","DateFormat=P","Fill=—","Direction=H","UseDPDF=Y")</f>
        <v>#NAME?</v>
      </c>
      <c r="R50" s="20" t="e" cm="1">
        <f t="array" aca="1" ref="R50" ca="1">_xll.BDH("DATA IN Equity","IS_DILUTED_EPS","FY 2019","FY 2019","Currency=INR","Period=FY","BEST_FPERIOD_OVERRIDE=FY","FILING_STATUS=MR","EQY_CONSOLIDATED=Y","FA_ADJUSTED=GAAP","Sort=A","Dates=H","DateFormat=P","Fill=—","Direction=H","UseDPDF=Y")</f>
        <v>#NAME?</v>
      </c>
      <c r="S50" s="20" t="e" cm="1">
        <f t="array" aca="1" ref="S50" ca="1">_xll.BDH("DATA IN Equity","IS_DILUTED_EPS","FY 2020","FY 2020","Currency=INR","Period=FY","BEST_FPERIOD_OVERRIDE=FY","FILING_STATUS=MR","EQY_CONSOLIDATED=Y","FA_ADJUSTED=GAAP","Sort=A","Dates=H","DateFormat=P","Fill=—","Direction=H","UseDPDF=Y")</f>
        <v>#NAME?</v>
      </c>
      <c r="T50" s="20" t="e" cm="1">
        <f t="array" aca="1" ref="T50" ca="1">_xll.BDH("DATA IN Equity","IS_DILUTED_EPS","FY 2021","FY 2021","Currency=INR","Period=FY","BEST_FPERIOD_OVERRIDE=FY","FILING_STATUS=MR","EQY_CONSOLIDATED=Y","FA_ADJUSTED=GAAP","Sort=A","Dates=H","DateFormat=P","Fill=—","Direction=H","UseDPDF=Y")</f>
        <v>#NAME?</v>
      </c>
      <c r="U50" s="20" t="e" cm="1">
        <f t="array" aca="1" ref="U50" ca="1">_xll.BDH("DATA IN Equity","IS_DILUTED_EPS","FY 2022","FY 2022","Currency=INR","Period=FY","BEST_FPERIOD_OVERRIDE=FY","FILING_STATUS=MR","EQY_CONSOLIDATED=Y","FA_ADJUSTED=GAAP","Sort=A","Dates=H","DateFormat=P","Fill=—","Direction=H","UseDPDF=Y")</f>
        <v>#NAME?</v>
      </c>
      <c r="V50" s="20" t="e" cm="1">
        <f t="array" aca="1" ref="V50" ca="1">_xll.BDH("DATA IN Equity","IS_DILUTED_EPS","FY 2023","FY 2023","Currency=INR","Period=FY","BEST_FPERIOD_OVERRIDE=FY","FILING_STATUS=MR","EQY_CONSOLIDATED=Y","FA_ADJUSTED=GAAP","Sort=A","Dates=H","DateFormat=P","Fill=—","Direction=H","UseDPDF=Y")</f>
        <v>#NAME?</v>
      </c>
      <c r="W50" s="20" t="e" cm="1">
        <f t="array" aca="1" ref="W50" ca="1">_xll.BDH("DATA IN Equity","IS_DILUTED_EPS","FY 2024","FY 2024","Currency=INR","Period=FY","BEST_FPERIOD_OVERRIDE=FY","FILING_STATUS=MR","EQY_CONSOLIDATED=Y","FA_ADJUSTED=GAAP","Sort=A","Dates=H","DateFormat=P","Fill=—","Direction=H","UseDPDF=Y")</f>
        <v>#NAME?</v>
      </c>
      <c r="X50" s="20" t="e" cm="1">
        <f t="array" aca="1" ref="X50" ca="1">_xll.BDH("DATA IN Equity","IS_DILUTED_EPS","FY 2025","FY 2025","Currency=INR","Period=FY","BEST_FPERIOD_OVERRIDE=FY","FILING_STATUS=MR","EQY_CONSOLIDATED=Y","FA_ADJUSTED=GAAP","Sort=A","Dates=H","DateFormat=P","Fill=—","Direction=H","UseDPDF=Y")</f>
        <v>#NAME?</v>
      </c>
      <c r="Y50" s="23">
        <v>32.979999999999997</v>
      </c>
      <c r="Z50" s="20">
        <v>42.2</v>
      </c>
      <c r="AA50" s="20">
        <v>48.2</v>
      </c>
    </row>
    <row r="51" spans="1:27" x14ac:dyDescent="0.2">
      <c r="A51" s="6" t="s">
        <v>198</v>
      </c>
      <c r="B51" s="6" t="s">
        <v>199</v>
      </c>
      <c r="C51" s="20" t="e" cm="1">
        <f t="array" aca="1" ref="C51" ca="1">_xll.BDH("DATA IN Equity","IS_DIL_EPS_BEF_XO","FY 2004","FY 2004","Currency=INR","Period=FY","BEST_FPERIOD_OVERRIDE=FY","FILING_STATUS=MR","EQY_CONSOLIDATED=Y","Sort=A","Dates=H","DateFormat=P","Fill=—","Direction=H","UseDPDF=Y")</f>
        <v>#NAME?</v>
      </c>
      <c r="D51" s="20" t="e" cm="1">
        <f t="array" aca="1" ref="D51" ca="1">_xll.BDH("DATA IN Equity","IS_DIL_EPS_BEF_XO","FY 2005","FY 2005","Currency=INR","Period=FY","BEST_FPERIOD_OVERRIDE=FY","FILING_STATUS=MR","EQY_CONSOLIDATED=Y","Sort=A","Dates=H","DateFormat=P","Fill=—","Direction=H","UseDPDF=Y")</f>
        <v>#NAME?</v>
      </c>
      <c r="E51" s="20" t="e" cm="1">
        <f t="array" aca="1" ref="E51" ca="1">_xll.BDH("DATA IN Equity","IS_DIL_EPS_BEF_XO","FY 2006","FY 2006","Currency=INR","Period=FY","BEST_FPERIOD_OVERRIDE=FY","FILING_STATUS=MR","EQY_CONSOLIDATED=Y","Sort=A","Dates=H","DateFormat=P","Fill=—","Direction=H","UseDPDF=Y")</f>
        <v>#NAME?</v>
      </c>
      <c r="F51" s="20" t="e" cm="1">
        <f t="array" aca="1" ref="F51" ca="1">_xll.BDH("DATA IN Equity","IS_DIL_EPS_BEF_XO","FY 2007","FY 2007","Currency=INR","Period=FY","BEST_FPERIOD_OVERRIDE=FY","FILING_STATUS=MR","EQY_CONSOLIDATED=Y","Sort=A","Dates=H","DateFormat=P","Fill=—","Direction=H","UseDPDF=Y")</f>
        <v>#NAME?</v>
      </c>
      <c r="G51" s="20" t="e" cm="1">
        <f t="array" aca="1" ref="G51" ca="1">_xll.BDH("DATA IN Equity","IS_DIL_EPS_BEF_XO","FY 2008","FY 2008","Currency=INR","Period=FY","BEST_FPERIOD_OVERRIDE=FY","FILING_STATUS=MR","EQY_CONSOLIDATED=Y","Sort=A","Dates=H","DateFormat=P","Fill=—","Direction=H","UseDPDF=Y")</f>
        <v>#NAME?</v>
      </c>
      <c r="H51" s="20" t="e" cm="1">
        <f t="array" aca="1" ref="H51" ca="1">_xll.BDH("DATA IN Equity","IS_DIL_EPS_BEF_XO","FY 2009","FY 2009","Currency=INR","Period=FY","BEST_FPERIOD_OVERRIDE=FY","FILING_STATUS=MR","EQY_CONSOLIDATED=Y","Sort=A","Dates=H","DateFormat=P","Fill=—","Direction=H","UseDPDF=Y")</f>
        <v>#NAME?</v>
      </c>
      <c r="I51" s="20" t="e" cm="1">
        <f t="array" aca="1" ref="I51" ca="1">_xll.BDH("DATA IN Equity","IS_DIL_EPS_BEF_XO","FY 2010","FY 2010","Currency=INR","Period=FY","BEST_FPERIOD_OVERRIDE=FY","FILING_STATUS=MR","EQY_CONSOLIDATED=Y","Sort=A","Dates=H","DateFormat=P","Fill=—","Direction=H","UseDPDF=Y")</f>
        <v>#NAME?</v>
      </c>
      <c r="J51" s="20" t="e" cm="1">
        <f t="array" aca="1" ref="J51" ca="1">_xll.BDH("DATA IN Equity","IS_DIL_EPS_BEF_XO","FY 2011","FY 2011","Currency=INR","Period=FY","BEST_FPERIOD_OVERRIDE=FY","FILING_STATUS=MR","EQY_CONSOLIDATED=Y","Sort=A","Dates=H","DateFormat=P","Fill=—","Direction=H","UseDPDF=Y")</f>
        <v>#NAME?</v>
      </c>
      <c r="K51" s="20" t="e" cm="1">
        <f t="array" aca="1" ref="K51" ca="1">_xll.BDH("DATA IN Equity","IS_DIL_EPS_BEF_XO","FY 2012","FY 2012","Currency=INR","Period=FY","BEST_FPERIOD_OVERRIDE=FY","FILING_STATUS=MR","EQY_CONSOLIDATED=Y","Sort=A","Dates=H","DateFormat=P","Fill=—","Direction=H","UseDPDF=Y")</f>
        <v>#NAME?</v>
      </c>
      <c r="L51" s="20" t="e" cm="1">
        <f t="array" aca="1" ref="L51" ca="1">_xll.BDH("DATA IN Equity","IS_DIL_EPS_BEF_XO","FY 2013","FY 2013","Currency=INR","Period=FY","BEST_FPERIOD_OVERRIDE=FY","FILING_STATUS=MR","EQY_CONSOLIDATED=Y","Sort=A","Dates=H","DateFormat=P","Fill=—","Direction=H","UseDPDF=Y")</f>
        <v>#NAME?</v>
      </c>
      <c r="M51" s="20" t="e" cm="1">
        <f t="array" aca="1" ref="M51" ca="1">_xll.BDH("DATA IN Equity","IS_DIL_EPS_BEF_XO","FY 2014","FY 2014","Currency=INR","Period=FY","BEST_FPERIOD_OVERRIDE=FY","FILING_STATUS=MR","EQY_CONSOLIDATED=Y","Sort=A","Dates=H","DateFormat=P","Fill=—","Direction=H","UseDPDF=Y")</f>
        <v>#NAME?</v>
      </c>
      <c r="N51" s="20" t="e" cm="1">
        <f t="array" aca="1" ref="N51" ca="1">_xll.BDH("DATA IN Equity","IS_DIL_EPS_BEF_XO","FY 2015","FY 2015","Currency=INR","Period=FY","BEST_FPERIOD_OVERRIDE=FY","FILING_STATUS=MR","EQY_CONSOLIDATED=Y","Sort=A","Dates=H","DateFormat=P","Fill=—","Direction=H","UseDPDF=Y")</f>
        <v>#NAME?</v>
      </c>
      <c r="O51" s="20" t="e" cm="1">
        <f t="array" aca="1" ref="O51" ca="1">_xll.BDH("DATA IN Equity","IS_DIL_EPS_BEF_XO","FY 2016","FY 2016","Currency=INR","Period=FY","BEST_FPERIOD_OVERRIDE=FY","FILING_STATUS=MR","EQY_CONSOLIDATED=Y","Sort=A","Dates=H","DateFormat=P","Fill=—","Direction=H","UseDPDF=Y")</f>
        <v>#NAME?</v>
      </c>
      <c r="P51" s="20" t="e" cm="1">
        <f t="array" aca="1" ref="P51" ca="1">_xll.BDH("DATA IN Equity","IS_DIL_EPS_BEF_XO","FY 2017","FY 2017","Currency=INR","Period=FY","BEST_FPERIOD_OVERRIDE=FY","FILING_STATUS=MR","EQY_CONSOLIDATED=Y","Sort=A","Dates=H","DateFormat=P","Fill=—","Direction=H","UseDPDF=Y")</f>
        <v>#NAME?</v>
      </c>
      <c r="Q51" s="20" t="e" cm="1">
        <f t="array" aca="1" ref="Q51" ca="1">_xll.BDH("DATA IN Equity","IS_DIL_EPS_BEF_XO","FY 2018","FY 2018","Currency=INR","Period=FY","BEST_FPERIOD_OVERRIDE=FY","FILING_STATUS=MR","EQY_CONSOLIDATED=Y","Sort=A","Dates=H","DateFormat=P","Fill=—","Direction=H","UseDPDF=Y")</f>
        <v>#NAME?</v>
      </c>
      <c r="R51" s="20" t="e" cm="1">
        <f t="array" aca="1" ref="R51" ca="1">_xll.BDH("DATA IN Equity","IS_DIL_EPS_BEF_XO","FY 2019","FY 2019","Currency=INR","Period=FY","BEST_FPERIOD_OVERRIDE=FY","FILING_STATUS=MR","EQY_CONSOLIDATED=Y","Sort=A","Dates=H","DateFormat=P","Fill=—","Direction=H","UseDPDF=Y")</f>
        <v>#NAME?</v>
      </c>
      <c r="S51" s="20" t="e" cm="1">
        <f t="array" aca="1" ref="S51" ca="1">_xll.BDH("DATA IN Equity","IS_DIL_EPS_BEF_XO","FY 2020","FY 2020","Currency=INR","Period=FY","BEST_FPERIOD_OVERRIDE=FY","FILING_STATUS=MR","EQY_CONSOLIDATED=Y","Sort=A","Dates=H","DateFormat=P","Fill=—","Direction=H","UseDPDF=Y")</f>
        <v>#NAME?</v>
      </c>
      <c r="T51" s="20" t="e" cm="1">
        <f t="array" aca="1" ref="T51" ca="1">_xll.BDH("DATA IN Equity","IS_DIL_EPS_BEF_XO","FY 2021","FY 2021","Currency=INR","Period=FY","BEST_FPERIOD_OVERRIDE=FY","FILING_STATUS=MR","EQY_CONSOLIDATED=Y","Sort=A","Dates=H","DateFormat=P","Fill=—","Direction=H","UseDPDF=Y")</f>
        <v>#NAME?</v>
      </c>
      <c r="U51" s="20" t="e" cm="1">
        <f t="array" aca="1" ref="U51" ca="1">_xll.BDH("DATA IN Equity","IS_DIL_EPS_BEF_XO","FY 2022","FY 2022","Currency=INR","Period=FY","BEST_FPERIOD_OVERRIDE=FY","FILING_STATUS=MR","EQY_CONSOLIDATED=Y","Sort=A","Dates=H","DateFormat=P","Fill=—","Direction=H","UseDPDF=Y")</f>
        <v>#NAME?</v>
      </c>
      <c r="V51" s="20" t="e" cm="1">
        <f t="array" aca="1" ref="V51" ca="1">_xll.BDH("DATA IN Equity","IS_DIL_EPS_BEF_XO","FY 2023","FY 2023","Currency=INR","Period=FY","BEST_FPERIOD_OVERRIDE=FY","FILING_STATUS=MR","EQY_CONSOLIDATED=Y","Sort=A","Dates=H","DateFormat=P","Fill=—","Direction=H","UseDPDF=Y")</f>
        <v>#NAME?</v>
      </c>
      <c r="W51" s="20" t="e" cm="1">
        <f t="array" aca="1" ref="W51" ca="1">_xll.BDH("DATA IN Equity","IS_DIL_EPS_BEF_XO","FY 2024","FY 2024","Currency=INR","Period=FY","BEST_FPERIOD_OVERRIDE=FY","FILING_STATUS=MR","EQY_CONSOLIDATED=Y","Sort=A","Dates=H","DateFormat=P","Fill=—","Direction=H","UseDPDF=Y")</f>
        <v>#NAME?</v>
      </c>
      <c r="X51" s="20" t="e" cm="1">
        <f t="array" aca="1" ref="X51" ca="1">_xll.BDH("DATA IN Equity","IS_DIL_EPS_BEF_XO","FY 2025","FY 2025","Currency=INR","Period=FY","BEST_FPERIOD_OVERRIDE=FY","FILING_STATUS=MR","EQY_CONSOLIDATED=Y","Sort=A","Dates=H","DateFormat=P","Fill=—","Direction=H","UseDPDF=Y")</f>
        <v>#NAME?</v>
      </c>
      <c r="Y51" s="23">
        <v>32.979999999999997</v>
      </c>
      <c r="Z51" s="20">
        <v>42.2</v>
      </c>
      <c r="AA51" s="20">
        <v>48.2</v>
      </c>
    </row>
    <row r="52" spans="1:27" x14ac:dyDescent="0.2">
      <c r="A52" s="6" t="s">
        <v>200</v>
      </c>
      <c r="B52" s="6" t="s">
        <v>201</v>
      </c>
      <c r="C52" s="20" t="e" cm="1">
        <f t="array" aca="1" ref="C52" ca="1">_xll.BDH("DATA IN Equity","IS_DIL_EPS_CONT_OPS","FY 2004","FY 2004","Currency=INR","Period=FY","BEST_FPERIOD_OVERRIDE=FY","FILING_STATUS=MR","EQY_CONSOLIDATED=Y","Sort=A","Dates=H","DateFormat=P","Fill=—","Direction=H","UseDPDF=Y")</f>
        <v>#NAME?</v>
      </c>
      <c r="D52" s="20" t="e" cm="1">
        <f t="array" aca="1" ref="D52" ca="1">_xll.BDH("DATA IN Equity","IS_DIL_EPS_CONT_OPS","FY 2005","FY 2005","Currency=INR","Period=FY","BEST_FPERIOD_OVERRIDE=FY","FILING_STATUS=MR","EQY_CONSOLIDATED=Y","Sort=A","Dates=H","DateFormat=P","Fill=—","Direction=H","UseDPDF=Y")</f>
        <v>#NAME?</v>
      </c>
      <c r="E52" s="20" t="e" cm="1">
        <f t="array" aca="1" ref="E52" ca="1">_xll.BDH("DATA IN Equity","IS_DIL_EPS_CONT_OPS","FY 2006","FY 2006","Currency=INR","Period=FY","BEST_FPERIOD_OVERRIDE=FY","FILING_STATUS=MR","EQY_CONSOLIDATED=Y","Sort=A","Dates=H","DateFormat=P","Fill=—","Direction=H","UseDPDF=Y")</f>
        <v>#NAME?</v>
      </c>
      <c r="F52" s="20" t="e" cm="1">
        <f t="array" aca="1" ref="F52" ca="1">_xll.BDH("DATA IN Equity","IS_DIL_EPS_CONT_OPS","FY 2007","FY 2007","Currency=INR","Period=FY","BEST_FPERIOD_OVERRIDE=FY","FILING_STATUS=MR","EQY_CONSOLIDATED=Y","Sort=A","Dates=H","DateFormat=P","Fill=—","Direction=H","UseDPDF=Y")</f>
        <v>#NAME?</v>
      </c>
      <c r="G52" s="20" t="e" cm="1">
        <f t="array" aca="1" ref="G52" ca="1">_xll.BDH("DATA IN Equity","IS_DIL_EPS_CONT_OPS","FY 2008","FY 2008","Currency=INR","Period=FY","BEST_FPERIOD_OVERRIDE=FY","FILING_STATUS=MR","EQY_CONSOLIDATED=Y","Sort=A","Dates=H","DateFormat=P","Fill=—","Direction=H","UseDPDF=Y")</f>
        <v>#NAME?</v>
      </c>
      <c r="H52" s="20" t="e" cm="1">
        <f t="array" aca="1" ref="H52" ca="1">_xll.BDH("DATA IN Equity","IS_DIL_EPS_CONT_OPS","FY 2009","FY 2009","Currency=INR","Period=FY","BEST_FPERIOD_OVERRIDE=FY","FILING_STATUS=MR","EQY_CONSOLIDATED=Y","Sort=A","Dates=H","DateFormat=P","Fill=—","Direction=H","UseDPDF=Y")</f>
        <v>#NAME?</v>
      </c>
      <c r="I52" s="20" t="e" cm="1">
        <f t="array" aca="1" ref="I52" ca="1">_xll.BDH("DATA IN Equity","IS_DIL_EPS_CONT_OPS","FY 2010","FY 2010","Currency=INR","Period=FY","BEST_FPERIOD_OVERRIDE=FY","FILING_STATUS=MR","EQY_CONSOLIDATED=Y","Sort=A","Dates=H","DateFormat=P","Fill=—","Direction=H","UseDPDF=Y")</f>
        <v>#NAME?</v>
      </c>
      <c r="J52" s="20" t="e" cm="1">
        <f t="array" aca="1" ref="J52" ca="1">_xll.BDH("DATA IN Equity","IS_DIL_EPS_CONT_OPS","FY 2011","FY 2011","Currency=INR","Period=FY","BEST_FPERIOD_OVERRIDE=FY","FILING_STATUS=MR","EQY_CONSOLIDATED=Y","Sort=A","Dates=H","DateFormat=P","Fill=—","Direction=H","UseDPDF=Y")</f>
        <v>#NAME?</v>
      </c>
      <c r="K52" s="20" t="e" cm="1">
        <f t="array" aca="1" ref="K52" ca="1">_xll.BDH("DATA IN Equity","IS_DIL_EPS_CONT_OPS","FY 2012","FY 2012","Currency=INR","Period=FY","BEST_FPERIOD_OVERRIDE=FY","FILING_STATUS=MR","EQY_CONSOLIDATED=Y","Sort=A","Dates=H","DateFormat=P","Fill=—","Direction=H","UseDPDF=Y")</f>
        <v>#NAME?</v>
      </c>
      <c r="L52" s="20" t="e" cm="1">
        <f t="array" aca="1" ref="L52" ca="1">_xll.BDH("DATA IN Equity","IS_DIL_EPS_CONT_OPS","FY 2013","FY 2013","Currency=INR","Period=FY","BEST_FPERIOD_OVERRIDE=FY","FILING_STATUS=MR","EQY_CONSOLIDATED=Y","Sort=A","Dates=H","DateFormat=P","Fill=—","Direction=H","UseDPDF=Y")</f>
        <v>#NAME?</v>
      </c>
      <c r="M52" s="20" t="e" cm="1">
        <f t="array" aca="1" ref="M52" ca="1">_xll.BDH("DATA IN Equity","IS_DIL_EPS_CONT_OPS","FY 2014","FY 2014","Currency=INR","Period=FY","BEST_FPERIOD_OVERRIDE=FY","FILING_STATUS=MR","EQY_CONSOLIDATED=Y","Sort=A","Dates=H","DateFormat=P","Fill=—","Direction=H","UseDPDF=Y")</f>
        <v>#NAME?</v>
      </c>
      <c r="N52" s="20" t="e" cm="1">
        <f t="array" aca="1" ref="N52" ca="1">_xll.BDH("DATA IN Equity","IS_DIL_EPS_CONT_OPS","FY 2015","FY 2015","Currency=INR","Period=FY","BEST_FPERIOD_OVERRIDE=FY","FILING_STATUS=MR","EQY_CONSOLIDATED=Y","Sort=A","Dates=H","DateFormat=P","Fill=—","Direction=H","UseDPDF=Y")</f>
        <v>#NAME?</v>
      </c>
      <c r="O52" s="20" t="e" cm="1">
        <f t="array" aca="1" ref="O52" ca="1">_xll.BDH("DATA IN Equity","IS_DIL_EPS_CONT_OPS","FY 2016","FY 2016","Currency=INR","Period=FY","BEST_FPERIOD_OVERRIDE=FY","FILING_STATUS=MR","EQY_CONSOLIDATED=Y","Sort=A","Dates=H","DateFormat=P","Fill=—","Direction=H","UseDPDF=Y")</f>
        <v>#NAME?</v>
      </c>
      <c r="P52" s="20" t="e" cm="1">
        <f t="array" aca="1" ref="P52" ca="1">_xll.BDH("DATA IN Equity","IS_DIL_EPS_CONT_OPS","FY 2017","FY 2017","Currency=INR","Period=FY","BEST_FPERIOD_OVERRIDE=FY","FILING_STATUS=MR","EQY_CONSOLIDATED=Y","Sort=A","Dates=H","DateFormat=P","Fill=—","Direction=H","UseDPDF=Y")</f>
        <v>#NAME?</v>
      </c>
      <c r="Q52" s="20" t="e" cm="1">
        <f t="array" aca="1" ref="Q52" ca="1">_xll.BDH("DATA IN Equity","IS_DIL_EPS_CONT_OPS","FY 2018","FY 2018","Currency=INR","Period=FY","BEST_FPERIOD_OVERRIDE=FY","FILING_STATUS=MR","EQY_CONSOLIDATED=Y","Sort=A","Dates=H","DateFormat=P","Fill=—","Direction=H","UseDPDF=Y")</f>
        <v>#NAME?</v>
      </c>
      <c r="R52" s="20" t="e" cm="1">
        <f t="array" aca="1" ref="R52" ca="1">_xll.BDH("DATA IN Equity","IS_DIL_EPS_CONT_OPS","FY 2019","FY 2019","Currency=INR","Period=FY","BEST_FPERIOD_OVERRIDE=FY","FILING_STATUS=MR","EQY_CONSOLIDATED=Y","Sort=A","Dates=H","DateFormat=P","Fill=—","Direction=H","UseDPDF=Y")</f>
        <v>#NAME?</v>
      </c>
      <c r="S52" s="20" t="e" cm="1">
        <f t="array" aca="1" ref="S52" ca="1">_xll.BDH("DATA IN Equity","IS_DIL_EPS_CONT_OPS","FY 2020","FY 2020","Currency=INR","Period=FY","BEST_FPERIOD_OVERRIDE=FY","FILING_STATUS=MR","EQY_CONSOLIDATED=Y","Sort=A","Dates=H","DateFormat=P","Fill=—","Direction=H","UseDPDF=Y")</f>
        <v>#NAME?</v>
      </c>
      <c r="T52" s="20" t="e" cm="1">
        <f t="array" aca="1" ref="T52" ca="1">_xll.BDH("DATA IN Equity","IS_DIL_EPS_CONT_OPS","FY 2021","FY 2021","Currency=INR","Period=FY","BEST_FPERIOD_OVERRIDE=FY","FILING_STATUS=MR","EQY_CONSOLIDATED=Y","Sort=A","Dates=H","DateFormat=P","Fill=—","Direction=H","UseDPDF=Y")</f>
        <v>#NAME?</v>
      </c>
      <c r="U52" s="20" t="e" cm="1">
        <f t="array" aca="1" ref="U52" ca="1">_xll.BDH("DATA IN Equity","IS_DIL_EPS_CONT_OPS","FY 2022","FY 2022","Currency=INR","Period=FY","BEST_FPERIOD_OVERRIDE=FY","FILING_STATUS=MR","EQY_CONSOLIDATED=Y","Sort=A","Dates=H","DateFormat=P","Fill=—","Direction=H","UseDPDF=Y")</f>
        <v>#NAME?</v>
      </c>
      <c r="V52" s="20" t="e" cm="1">
        <f t="array" aca="1" ref="V52" ca="1">_xll.BDH("DATA IN Equity","IS_DIL_EPS_CONT_OPS","FY 2023","FY 2023","Currency=INR","Period=FY","BEST_FPERIOD_OVERRIDE=FY","FILING_STATUS=MR","EQY_CONSOLIDATED=Y","Sort=A","Dates=H","DateFormat=P","Fill=—","Direction=H","UseDPDF=Y")</f>
        <v>#NAME?</v>
      </c>
      <c r="W52" s="20" t="e" cm="1">
        <f t="array" aca="1" ref="W52" ca="1">_xll.BDH("DATA IN Equity","IS_DIL_EPS_CONT_OPS","FY 2024","FY 2024","Currency=INR","Period=FY","BEST_FPERIOD_OVERRIDE=FY","FILING_STATUS=MR","EQY_CONSOLIDATED=Y","Sort=A","Dates=H","DateFormat=P","Fill=—","Direction=H","UseDPDF=Y")</f>
        <v>#NAME?</v>
      </c>
      <c r="X52" s="20" t="e" cm="1">
        <f t="array" aca="1" ref="X52" ca="1">_xll.BDH("DATA IN Equity","IS_DIL_EPS_CONT_OPS","FY 2025","FY 2025","Currency=INR","Period=FY","BEST_FPERIOD_OVERRIDE=FY","FILING_STATUS=MR","EQY_CONSOLIDATED=Y","Sort=A","Dates=H","DateFormat=P","Fill=—","Direction=H","UseDPDF=Y")</f>
        <v>#NAME?</v>
      </c>
      <c r="Y52" s="23">
        <v>28.208324999999999</v>
      </c>
      <c r="Z52" s="20">
        <v>42.2</v>
      </c>
      <c r="AA52" s="20">
        <v>48.2</v>
      </c>
    </row>
    <row r="53" spans="1:27" x14ac:dyDescent="0.2">
      <c r="A53" s="6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21"/>
      <c r="Z53" s="18"/>
      <c r="AA53" s="18"/>
    </row>
    <row r="54" spans="1:27" x14ac:dyDescent="0.2">
      <c r="A54" s="6" t="s">
        <v>2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21"/>
      <c r="Z54" s="18"/>
      <c r="AA54" s="18"/>
    </row>
    <row r="55" spans="1:27" x14ac:dyDescent="0.2">
      <c r="A55" s="10" t="s">
        <v>202</v>
      </c>
      <c r="B55" s="10" t="s">
        <v>203</v>
      </c>
      <c r="C55" s="12" t="s">
        <v>204</v>
      </c>
      <c r="D55" s="12" t="s">
        <v>204</v>
      </c>
      <c r="E55" s="12" t="s">
        <v>204</v>
      </c>
      <c r="F55" s="12" t="s">
        <v>204</v>
      </c>
      <c r="G55" s="12" t="s">
        <v>204</v>
      </c>
      <c r="H55" s="12" t="s">
        <v>204</v>
      </c>
      <c r="I55" s="12" t="s">
        <v>204</v>
      </c>
      <c r="J55" s="12" t="s">
        <v>204</v>
      </c>
      <c r="K55" s="12" t="s">
        <v>204</v>
      </c>
      <c r="L55" s="12" t="s">
        <v>204</v>
      </c>
      <c r="M55" s="12" t="s">
        <v>204</v>
      </c>
      <c r="N55" s="12" t="s">
        <v>204</v>
      </c>
      <c r="O55" s="12" t="s">
        <v>204</v>
      </c>
      <c r="P55" s="12" t="s">
        <v>204</v>
      </c>
      <c r="Q55" s="12" t="s">
        <v>204</v>
      </c>
      <c r="R55" s="12" t="s">
        <v>204</v>
      </c>
      <c r="S55" s="12" t="s">
        <v>204</v>
      </c>
      <c r="T55" s="12" t="s">
        <v>204</v>
      </c>
      <c r="U55" s="12" t="s">
        <v>204</v>
      </c>
      <c r="V55" s="12" t="s">
        <v>204</v>
      </c>
      <c r="W55" s="12" t="s">
        <v>204</v>
      </c>
      <c r="X55" s="12" t="s">
        <v>204</v>
      </c>
      <c r="Y55" s="15"/>
      <c r="Z55" s="12"/>
      <c r="AA55" s="12"/>
    </row>
    <row r="56" spans="1:27" x14ac:dyDescent="0.2">
      <c r="A56" s="10" t="s">
        <v>205</v>
      </c>
      <c r="B56" s="10" t="s">
        <v>205</v>
      </c>
      <c r="C56" s="13" t="e" cm="1">
        <f t="array" aca="1" ref="C56" ca="1">_xll.BDH("DATA IN Equity","EBITDA","FY 2004","FY 2004","Currency=INR","Period=FY","BEST_FPERIOD_OVERRIDE=FY","FILING_STATUS=MR","EQY_CONSOLIDATED=Y","SCALING_FORMAT=MLN","FA_ADJUSTED=GAAP","Sort=A","Dates=H","DateFormat=P","Fill=—","Direction=H","UseDPDF=Y")</f>
        <v>#NAME?</v>
      </c>
      <c r="D56" s="13" t="e" cm="1">
        <f t="array" aca="1" ref="D56" ca="1">_xll.BDH("DATA IN Equity","EBITDA","FY 2005","FY 2005","Currency=INR","Period=FY","BEST_FPERIOD_OVERRIDE=FY","FILING_STATUS=MR","EQY_CONSOLIDATED=Y","SCALING_FORMAT=MLN","FA_ADJUSTED=GAAP","Sort=A","Dates=H","DateFormat=P","Fill=—","Direction=H","UseDPDF=Y")</f>
        <v>#NAME?</v>
      </c>
      <c r="E56" s="13" t="e" cm="1">
        <f t="array" aca="1" ref="E56" ca="1">_xll.BDH("DATA IN Equity","EBITDA","FY 2006","FY 2006","Currency=INR","Period=FY","BEST_FPERIOD_OVERRIDE=FY","FILING_STATUS=MR","EQY_CONSOLIDATED=Y","SCALING_FORMAT=MLN","FA_ADJUSTED=GAAP","Sort=A","Dates=H","DateFormat=P","Fill=—","Direction=H","UseDPDF=Y")</f>
        <v>#NAME?</v>
      </c>
      <c r="F56" s="13" t="e" cm="1">
        <f t="array" aca="1" ref="F56" ca="1">_xll.BDH("DATA IN Equity","EBITDA","FY 2007","FY 2007","Currency=INR","Period=FY","BEST_FPERIOD_OVERRIDE=FY","FILING_STATUS=MR","EQY_CONSOLIDATED=Y","SCALING_FORMAT=MLN","FA_ADJUSTED=GAAP","Sort=A","Dates=H","DateFormat=P","Fill=—","Direction=H","UseDPDF=Y")</f>
        <v>#NAME?</v>
      </c>
      <c r="G56" s="13" t="e" cm="1">
        <f t="array" aca="1" ref="G56" ca="1">_xll.BDH("DATA IN Equity","EBITDA","FY 2008","FY 2008","Currency=INR","Period=FY","BEST_FPERIOD_OVERRIDE=FY","FILING_STATUS=MR","EQY_CONSOLIDATED=Y","SCALING_FORMAT=MLN","FA_ADJUSTED=GAAP","Sort=A","Dates=H","DateFormat=P","Fill=—","Direction=H","UseDPDF=Y")</f>
        <v>#NAME?</v>
      </c>
      <c r="H56" s="13" t="e" cm="1">
        <f t="array" aca="1" ref="H56" ca="1">_xll.BDH("DATA IN Equity","EBITDA","FY 2009","FY 2009","Currency=INR","Period=FY","BEST_FPERIOD_OVERRIDE=FY","FILING_STATUS=MR","EQY_CONSOLIDATED=Y","SCALING_FORMAT=MLN","FA_ADJUSTED=GAAP","Sort=A","Dates=H","DateFormat=P","Fill=—","Direction=H","UseDPDF=Y")</f>
        <v>#NAME?</v>
      </c>
      <c r="I56" s="13" t="e" cm="1">
        <f t="array" aca="1" ref="I56" ca="1">_xll.BDH("DATA IN Equity","EBITDA","FY 2010","FY 2010","Currency=INR","Period=FY","BEST_FPERIOD_OVERRIDE=FY","FILING_STATUS=MR","EQY_CONSOLIDATED=Y","SCALING_FORMAT=MLN","FA_ADJUSTED=GAAP","Sort=A","Dates=H","DateFormat=P","Fill=—","Direction=H","UseDPDF=Y")</f>
        <v>#NAME?</v>
      </c>
      <c r="J56" s="13" t="e" cm="1">
        <f t="array" aca="1" ref="J56" ca="1">_xll.BDH("DATA IN Equity","EBITDA","FY 2011","FY 2011","Currency=INR","Period=FY","BEST_FPERIOD_OVERRIDE=FY","FILING_STATUS=MR","EQY_CONSOLIDATED=Y","SCALING_FORMAT=MLN","FA_ADJUSTED=GAAP","Sort=A","Dates=H","DateFormat=P","Fill=—","Direction=H","UseDPDF=Y")</f>
        <v>#NAME?</v>
      </c>
      <c r="K56" s="13" t="e" cm="1">
        <f t="array" aca="1" ref="K56" ca="1">_xll.BDH("DATA IN Equity","EBITDA","FY 2012","FY 2012","Currency=INR","Period=FY","BEST_FPERIOD_OVERRIDE=FY","FILING_STATUS=MR","EQY_CONSOLIDATED=Y","SCALING_FORMAT=MLN","FA_ADJUSTED=GAAP","Sort=A","Dates=H","DateFormat=P","Fill=—","Direction=H","UseDPDF=Y")</f>
        <v>#NAME?</v>
      </c>
      <c r="L56" s="13" t="e" cm="1">
        <f t="array" aca="1" ref="L56" ca="1">_xll.BDH("DATA IN Equity","EBITDA","FY 2013","FY 2013","Currency=INR","Period=FY","BEST_FPERIOD_OVERRIDE=FY","FILING_STATUS=MR","EQY_CONSOLIDATED=Y","SCALING_FORMAT=MLN","FA_ADJUSTED=GAAP","Sort=A","Dates=H","DateFormat=P","Fill=—","Direction=H","UseDPDF=Y")</f>
        <v>#NAME?</v>
      </c>
      <c r="M56" s="13" t="e" cm="1">
        <f t="array" aca="1" ref="M56" ca="1">_xll.BDH("DATA IN Equity","EBITDA","FY 2014","FY 2014","Currency=INR","Period=FY","BEST_FPERIOD_OVERRIDE=FY","FILING_STATUS=MR","EQY_CONSOLIDATED=Y","SCALING_FORMAT=MLN","FA_ADJUSTED=GAAP","Sort=A","Dates=H","DateFormat=P","Fill=—","Direction=H","UseDPDF=Y")</f>
        <v>#NAME?</v>
      </c>
      <c r="N56" s="13" t="e" cm="1">
        <f t="array" aca="1" ref="N56" ca="1">_xll.BDH("DATA IN Equity","EBITDA","FY 2015","FY 2015","Currency=INR","Period=FY","BEST_FPERIOD_OVERRIDE=FY","FILING_STATUS=MR","EQY_CONSOLIDATED=Y","SCALING_FORMAT=MLN","FA_ADJUSTED=GAAP","Sort=A","Dates=H","DateFormat=P","Fill=—","Direction=H","UseDPDF=Y")</f>
        <v>#NAME?</v>
      </c>
      <c r="O56" s="13" t="e" cm="1">
        <f t="array" aca="1" ref="O56" ca="1">_xll.BDH("DATA IN Equity","EBITDA","FY 2016","FY 2016","Currency=INR","Period=FY","BEST_FPERIOD_OVERRIDE=FY","FILING_STATUS=MR","EQY_CONSOLIDATED=Y","SCALING_FORMAT=MLN","FA_ADJUSTED=GAAP","Sort=A","Dates=H","DateFormat=P","Fill=—","Direction=H","UseDPDF=Y")</f>
        <v>#NAME?</v>
      </c>
      <c r="P56" s="13" t="e" cm="1">
        <f t="array" aca="1" ref="P56" ca="1">_xll.BDH("DATA IN Equity","EBITDA","FY 2017","FY 2017","Currency=INR","Period=FY","BEST_FPERIOD_OVERRIDE=FY","FILING_STATUS=MR","EQY_CONSOLIDATED=Y","SCALING_FORMAT=MLN","FA_ADJUSTED=GAAP","Sort=A","Dates=H","DateFormat=P","Fill=—","Direction=H","UseDPDF=Y")</f>
        <v>#NAME?</v>
      </c>
      <c r="Q56" s="13" t="e" cm="1">
        <f t="array" aca="1" ref="Q56" ca="1">_xll.BDH("DATA IN Equity","EBITDA","FY 2018","FY 2018","Currency=INR","Period=FY","BEST_FPERIOD_OVERRIDE=FY","FILING_STATUS=MR","EQY_CONSOLIDATED=Y","SCALING_FORMAT=MLN","FA_ADJUSTED=GAAP","Sort=A","Dates=H","DateFormat=P","Fill=—","Direction=H","UseDPDF=Y")</f>
        <v>#NAME?</v>
      </c>
      <c r="R56" s="13" t="e" cm="1">
        <f t="array" aca="1" ref="R56" ca="1">_xll.BDH("DATA IN Equity","EBITDA","FY 2019","FY 2019","Currency=INR","Period=FY","BEST_FPERIOD_OVERRIDE=FY","FILING_STATUS=MR","EQY_CONSOLIDATED=Y","SCALING_FORMAT=MLN","FA_ADJUSTED=GAAP","Sort=A","Dates=H","DateFormat=P","Fill=—","Direction=H","UseDPDF=Y")</f>
        <v>#NAME?</v>
      </c>
      <c r="S56" s="13" t="e" cm="1">
        <f t="array" aca="1" ref="S56" ca="1">_xll.BDH("DATA IN Equity","EBITDA","FY 2020","FY 2020","Currency=INR","Period=FY","BEST_FPERIOD_OVERRIDE=FY","FILING_STATUS=MR","EQY_CONSOLIDATED=Y","SCALING_FORMAT=MLN","FA_ADJUSTED=GAAP","Sort=A","Dates=H","DateFormat=P","Fill=—","Direction=H","UseDPDF=Y")</f>
        <v>#NAME?</v>
      </c>
      <c r="T56" s="13" t="e" cm="1">
        <f t="array" aca="1" ref="T56" ca="1">_xll.BDH("DATA IN Equity","EBITDA","FY 2021","FY 2021","Currency=INR","Period=FY","BEST_FPERIOD_OVERRIDE=FY","FILING_STATUS=MR","EQY_CONSOLIDATED=Y","SCALING_FORMAT=MLN","FA_ADJUSTED=GAAP","Sort=A","Dates=H","DateFormat=P","Fill=—","Direction=H","UseDPDF=Y")</f>
        <v>#NAME?</v>
      </c>
      <c r="U56" s="13" t="e" cm="1">
        <f t="array" aca="1" ref="U56" ca="1">_xll.BDH("DATA IN Equity","EBITDA","FY 2022","FY 2022","Currency=INR","Period=FY","BEST_FPERIOD_OVERRIDE=FY","FILING_STATUS=MR","EQY_CONSOLIDATED=Y","SCALING_FORMAT=MLN","FA_ADJUSTED=GAAP","Sort=A","Dates=H","DateFormat=P","Fill=—","Direction=H","UseDPDF=Y")</f>
        <v>#NAME?</v>
      </c>
      <c r="V56" s="13" t="e" cm="1">
        <f t="array" aca="1" ref="V56" ca="1">_xll.BDH("DATA IN Equity","EBITDA","FY 2023","FY 2023","Currency=INR","Period=FY","BEST_FPERIOD_OVERRIDE=FY","FILING_STATUS=MR","EQY_CONSOLIDATED=Y","SCALING_FORMAT=MLN","FA_ADJUSTED=GAAP","Sort=A","Dates=H","DateFormat=P","Fill=—","Direction=H","UseDPDF=Y")</f>
        <v>#NAME?</v>
      </c>
      <c r="W56" s="13" t="e" cm="1">
        <f t="array" aca="1" ref="W56" ca="1">_xll.BDH("DATA IN Equity","EBITDA","FY 2024","FY 2024","Currency=INR","Period=FY","BEST_FPERIOD_OVERRIDE=FY","FILING_STATUS=MR","EQY_CONSOLIDATED=Y","SCALING_FORMAT=MLN","FA_ADJUSTED=GAAP","Sort=A","Dates=H","DateFormat=P","Fill=—","Direction=H","UseDPDF=Y")</f>
        <v>#NAME?</v>
      </c>
      <c r="X56" s="13" t="e" cm="1">
        <f t="array" aca="1" ref="X56" ca="1">_xll.BDH("DATA IN Equity","EBITDA","FY 2025","FY 2025","Currency=INR","Period=FY","BEST_FPERIOD_OVERRIDE=FY","FILING_STATUS=MR","EQY_CONSOLIDATED=Y","SCALING_FORMAT=MLN","FA_ADJUSTED=GAAP","Sort=A","Dates=H","DateFormat=P","Fill=—","Direction=H","UseDPDF=Y")</f>
        <v>#NAME?</v>
      </c>
      <c r="Y56" s="16">
        <v>2953.9</v>
      </c>
      <c r="Z56" s="13">
        <v>3517</v>
      </c>
      <c r="AA56" s="13">
        <v>3891</v>
      </c>
    </row>
    <row r="57" spans="1:27" x14ac:dyDescent="0.2">
      <c r="A57" s="10" t="s">
        <v>206</v>
      </c>
      <c r="B57" s="10" t="s">
        <v>207</v>
      </c>
      <c r="C57" s="14" t="e" cm="1">
        <f t="array" aca="1" ref="C57" ca="1">_xll.BDH("DATA IN Equity","EBITDA_MARGIN","FY 2004","FY 2004","Currency=INR","Period=FY","BEST_FPERIOD_OVERRIDE=FY","FILING_STATUS=MR","EQY_CONSOLIDATED=Y","FA_ADJUSTED=GAAP","Sort=A","Dates=H","DateFormat=P","Fill=—","Direction=H","UseDPDF=Y")</f>
        <v>#NAME?</v>
      </c>
      <c r="D57" s="14" t="e" cm="1">
        <f t="array" aca="1" ref="D57" ca="1">_xll.BDH("DATA IN Equity","EBITDA_MARGIN","FY 2005","FY 2005","Currency=INR","Period=FY","BEST_FPERIOD_OVERRIDE=FY","FILING_STATUS=MR","EQY_CONSOLIDATED=Y","FA_ADJUSTED=GAAP","Sort=A","Dates=H","DateFormat=P","Fill=—","Direction=H","UseDPDF=Y")</f>
        <v>#NAME?</v>
      </c>
      <c r="E57" s="14" t="e" cm="1">
        <f t="array" aca="1" ref="E57" ca="1">_xll.BDH("DATA IN Equity","EBITDA_MARGIN","FY 2006","FY 2006","Currency=INR","Period=FY","BEST_FPERIOD_OVERRIDE=FY","FILING_STATUS=MR","EQY_CONSOLIDATED=Y","FA_ADJUSTED=GAAP","Sort=A","Dates=H","DateFormat=P","Fill=—","Direction=H","UseDPDF=Y")</f>
        <v>#NAME?</v>
      </c>
      <c r="F57" s="14" t="e" cm="1">
        <f t="array" aca="1" ref="F57" ca="1">_xll.BDH("DATA IN Equity","EBITDA_MARGIN","FY 2007","FY 2007","Currency=INR","Period=FY","BEST_FPERIOD_OVERRIDE=FY","FILING_STATUS=MR","EQY_CONSOLIDATED=Y","FA_ADJUSTED=GAAP","Sort=A","Dates=H","DateFormat=P","Fill=—","Direction=H","UseDPDF=Y")</f>
        <v>#NAME?</v>
      </c>
      <c r="G57" s="14" t="e" cm="1">
        <f t="array" aca="1" ref="G57" ca="1">_xll.BDH("DATA IN Equity","EBITDA_MARGIN","FY 2008","FY 2008","Currency=INR","Period=FY","BEST_FPERIOD_OVERRIDE=FY","FILING_STATUS=MR","EQY_CONSOLIDATED=Y","FA_ADJUSTED=GAAP","Sort=A","Dates=H","DateFormat=P","Fill=—","Direction=H","UseDPDF=Y")</f>
        <v>#NAME?</v>
      </c>
      <c r="H57" s="14" t="e" cm="1">
        <f t="array" aca="1" ref="H57" ca="1">_xll.BDH("DATA IN Equity","EBITDA_MARGIN","FY 2009","FY 2009","Currency=INR","Period=FY","BEST_FPERIOD_OVERRIDE=FY","FILING_STATUS=MR","EQY_CONSOLIDATED=Y","FA_ADJUSTED=GAAP","Sort=A","Dates=H","DateFormat=P","Fill=—","Direction=H","UseDPDF=Y")</f>
        <v>#NAME?</v>
      </c>
      <c r="I57" s="14" t="e" cm="1">
        <f t="array" aca="1" ref="I57" ca="1">_xll.BDH("DATA IN Equity","EBITDA_MARGIN","FY 2010","FY 2010","Currency=INR","Period=FY","BEST_FPERIOD_OVERRIDE=FY","FILING_STATUS=MR","EQY_CONSOLIDATED=Y","FA_ADJUSTED=GAAP","Sort=A","Dates=H","DateFormat=P","Fill=—","Direction=H","UseDPDF=Y")</f>
        <v>#NAME?</v>
      </c>
      <c r="J57" s="14" t="e" cm="1">
        <f t="array" aca="1" ref="J57" ca="1">_xll.BDH("DATA IN Equity","EBITDA_MARGIN","FY 2011","FY 2011","Currency=INR","Period=FY","BEST_FPERIOD_OVERRIDE=FY","FILING_STATUS=MR","EQY_CONSOLIDATED=Y","FA_ADJUSTED=GAAP","Sort=A","Dates=H","DateFormat=P","Fill=—","Direction=H","UseDPDF=Y")</f>
        <v>#NAME?</v>
      </c>
      <c r="K57" s="14" t="e" cm="1">
        <f t="array" aca="1" ref="K57" ca="1">_xll.BDH("DATA IN Equity","EBITDA_MARGIN","FY 2012","FY 2012","Currency=INR","Period=FY","BEST_FPERIOD_OVERRIDE=FY","FILING_STATUS=MR","EQY_CONSOLIDATED=Y","FA_ADJUSTED=GAAP","Sort=A","Dates=H","DateFormat=P","Fill=—","Direction=H","UseDPDF=Y")</f>
        <v>#NAME?</v>
      </c>
      <c r="L57" s="14" t="e" cm="1">
        <f t="array" aca="1" ref="L57" ca="1">_xll.BDH("DATA IN Equity","EBITDA_MARGIN","FY 2013","FY 2013","Currency=INR","Period=FY","BEST_FPERIOD_OVERRIDE=FY","FILING_STATUS=MR","EQY_CONSOLIDATED=Y","FA_ADJUSTED=GAAP","Sort=A","Dates=H","DateFormat=P","Fill=—","Direction=H","UseDPDF=Y")</f>
        <v>#NAME?</v>
      </c>
      <c r="M57" s="14" t="e" cm="1">
        <f t="array" aca="1" ref="M57" ca="1">_xll.BDH("DATA IN Equity","EBITDA_MARGIN","FY 2014","FY 2014","Currency=INR","Period=FY","BEST_FPERIOD_OVERRIDE=FY","FILING_STATUS=MR","EQY_CONSOLIDATED=Y","FA_ADJUSTED=GAAP","Sort=A","Dates=H","DateFormat=P","Fill=—","Direction=H","UseDPDF=Y")</f>
        <v>#NAME?</v>
      </c>
      <c r="N57" s="14" t="e" cm="1">
        <f t="array" aca="1" ref="N57" ca="1">_xll.BDH("DATA IN Equity","EBITDA_MARGIN","FY 2015","FY 2015","Currency=INR","Period=FY","BEST_FPERIOD_OVERRIDE=FY","FILING_STATUS=MR","EQY_CONSOLIDATED=Y","FA_ADJUSTED=GAAP","Sort=A","Dates=H","DateFormat=P","Fill=—","Direction=H","UseDPDF=Y")</f>
        <v>#NAME?</v>
      </c>
      <c r="O57" s="14" t="e" cm="1">
        <f t="array" aca="1" ref="O57" ca="1">_xll.BDH("DATA IN Equity","EBITDA_MARGIN","FY 2016","FY 2016","Currency=INR","Period=FY","BEST_FPERIOD_OVERRIDE=FY","FILING_STATUS=MR","EQY_CONSOLIDATED=Y","FA_ADJUSTED=GAAP","Sort=A","Dates=H","DateFormat=P","Fill=—","Direction=H","UseDPDF=Y")</f>
        <v>#NAME?</v>
      </c>
      <c r="P57" s="14" t="e" cm="1">
        <f t="array" aca="1" ref="P57" ca="1">_xll.BDH("DATA IN Equity","EBITDA_MARGIN","FY 2017","FY 2017","Currency=INR","Period=FY","BEST_FPERIOD_OVERRIDE=FY","FILING_STATUS=MR","EQY_CONSOLIDATED=Y","FA_ADJUSTED=GAAP","Sort=A","Dates=H","DateFormat=P","Fill=—","Direction=H","UseDPDF=Y")</f>
        <v>#NAME?</v>
      </c>
      <c r="Q57" s="14" t="e" cm="1">
        <f t="array" aca="1" ref="Q57" ca="1">_xll.BDH("DATA IN Equity","EBITDA_MARGIN","FY 2018","FY 2018","Currency=INR","Period=FY","BEST_FPERIOD_OVERRIDE=FY","FILING_STATUS=MR","EQY_CONSOLIDATED=Y","FA_ADJUSTED=GAAP","Sort=A","Dates=H","DateFormat=P","Fill=—","Direction=H","UseDPDF=Y")</f>
        <v>#NAME?</v>
      </c>
      <c r="R57" s="14" t="e" cm="1">
        <f t="array" aca="1" ref="R57" ca="1">_xll.BDH("DATA IN Equity","EBITDA_MARGIN","FY 2019","FY 2019","Currency=INR","Period=FY","BEST_FPERIOD_OVERRIDE=FY","FILING_STATUS=MR","EQY_CONSOLIDATED=Y","FA_ADJUSTED=GAAP","Sort=A","Dates=H","DateFormat=P","Fill=—","Direction=H","UseDPDF=Y")</f>
        <v>#NAME?</v>
      </c>
      <c r="S57" s="14" t="e" cm="1">
        <f t="array" aca="1" ref="S57" ca="1">_xll.BDH("DATA IN Equity","EBITDA_MARGIN","FY 2020","FY 2020","Currency=INR","Period=FY","BEST_FPERIOD_OVERRIDE=FY","FILING_STATUS=MR","EQY_CONSOLIDATED=Y","FA_ADJUSTED=GAAP","Sort=A","Dates=H","DateFormat=P","Fill=—","Direction=H","UseDPDF=Y")</f>
        <v>#NAME?</v>
      </c>
      <c r="T57" s="14" t="e" cm="1">
        <f t="array" aca="1" ref="T57" ca="1">_xll.BDH("DATA IN Equity","EBITDA_MARGIN","FY 2021","FY 2021","Currency=INR","Period=FY","BEST_FPERIOD_OVERRIDE=FY","FILING_STATUS=MR","EQY_CONSOLIDATED=Y","FA_ADJUSTED=GAAP","Sort=A","Dates=H","DateFormat=P","Fill=—","Direction=H","UseDPDF=Y")</f>
        <v>#NAME?</v>
      </c>
      <c r="U57" s="14" t="e" cm="1">
        <f t="array" aca="1" ref="U57" ca="1">_xll.BDH("DATA IN Equity","EBITDA_MARGIN","FY 2022","FY 2022","Currency=INR","Period=FY","BEST_FPERIOD_OVERRIDE=FY","FILING_STATUS=MR","EQY_CONSOLIDATED=Y","FA_ADJUSTED=GAAP","Sort=A","Dates=H","DateFormat=P","Fill=—","Direction=H","UseDPDF=Y")</f>
        <v>#NAME?</v>
      </c>
      <c r="V57" s="14" t="e" cm="1">
        <f t="array" aca="1" ref="V57" ca="1">_xll.BDH("DATA IN Equity","EBITDA_MARGIN","FY 2023","FY 2023","Currency=INR","Period=FY","BEST_FPERIOD_OVERRIDE=FY","FILING_STATUS=MR","EQY_CONSOLIDATED=Y","FA_ADJUSTED=GAAP","Sort=A","Dates=H","DateFormat=P","Fill=—","Direction=H","UseDPDF=Y")</f>
        <v>#NAME?</v>
      </c>
      <c r="W57" s="14" t="e" cm="1">
        <f t="array" aca="1" ref="W57" ca="1">_xll.BDH("DATA IN Equity","EBITDA_MARGIN","FY 2024","FY 2024","Currency=INR","Period=FY","BEST_FPERIOD_OVERRIDE=FY","FILING_STATUS=MR","EQY_CONSOLIDATED=Y","FA_ADJUSTED=GAAP","Sort=A","Dates=H","DateFormat=P","Fill=—","Direction=H","UseDPDF=Y")</f>
        <v>#NAME?</v>
      </c>
      <c r="X57" s="14" t="e" cm="1">
        <f t="array" aca="1" ref="X57" ca="1">_xll.BDH("DATA IN Equity","EBITDA_MARGIN","FY 2025","FY 2025","Currency=INR","Period=FY","BEST_FPERIOD_OVERRIDE=FY","FILING_STATUS=MR","EQY_CONSOLIDATED=Y","FA_ADJUSTED=GAAP","Sort=A","Dates=H","DateFormat=P","Fill=—","Direction=H","UseDPDF=Y")</f>
        <v>#NAME?</v>
      </c>
      <c r="Y57" s="17">
        <v>15.032263974270199</v>
      </c>
      <c r="Z57" s="14">
        <v>17.566555117126999</v>
      </c>
      <c r="AA57" s="14">
        <v>17.793936068047699</v>
      </c>
    </row>
    <row r="58" spans="1:27" x14ac:dyDescent="0.2">
      <c r="A58" s="10" t="s">
        <v>208</v>
      </c>
      <c r="B58" s="10" t="s">
        <v>208</v>
      </c>
      <c r="C58" s="13" t="e" cm="1">
        <f t="array" aca="1" ref="C58" ca="1">_xll.BDH("DATA IN Equity","EBITA","FY 2004","FY 2004","Currency=INR","Period=FY","BEST_FPERIOD_OVERRIDE=FY","FILING_STATUS=MR","EQY_CONSOLIDATED=Y","SCALING_FORMAT=MLN","FA_ADJUSTED=GAAP","Sort=A","Dates=H","DateFormat=P","Fill=—","Direction=H","UseDPDF=Y")</f>
        <v>#NAME?</v>
      </c>
      <c r="D58" s="13" t="e" cm="1">
        <f t="array" aca="1" ref="D58" ca="1">_xll.BDH("DATA IN Equity","EBITA","FY 2005","FY 2005","Currency=INR","Period=FY","BEST_FPERIOD_OVERRIDE=FY","FILING_STATUS=MR","EQY_CONSOLIDATED=Y","SCALING_FORMAT=MLN","FA_ADJUSTED=GAAP","Sort=A","Dates=H","DateFormat=P","Fill=—","Direction=H","UseDPDF=Y")</f>
        <v>#NAME?</v>
      </c>
      <c r="E58" s="13" t="e" cm="1">
        <f t="array" aca="1" ref="E58" ca="1">_xll.BDH("DATA IN Equity","EBITA","FY 2006","FY 2006","Currency=INR","Period=FY","BEST_FPERIOD_OVERRIDE=FY","FILING_STATUS=MR","EQY_CONSOLIDATED=Y","SCALING_FORMAT=MLN","FA_ADJUSTED=GAAP","Sort=A","Dates=H","DateFormat=P","Fill=—","Direction=H","UseDPDF=Y")</f>
        <v>#NAME?</v>
      </c>
      <c r="F58" s="13" t="e" cm="1">
        <f t="array" aca="1" ref="F58" ca="1">_xll.BDH("DATA IN Equity","EBITA","FY 2007","FY 2007","Currency=INR","Period=FY","BEST_FPERIOD_OVERRIDE=FY","FILING_STATUS=MR","EQY_CONSOLIDATED=Y","SCALING_FORMAT=MLN","FA_ADJUSTED=GAAP","Sort=A","Dates=H","DateFormat=P","Fill=—","Direction=H","UseDPDF=Y")</f>
        <v>#NAME?</v>
      </c>
      <c r="G58" s="13" t="e" cm="1">
        <f t="array" aca="1" ref="G58" ca="1">_xll.BDH("DATA IN Equity","EBITA","FY 2008","FY 2008","Currency=INR","Period=FY","BEST_FPERIOD_OVERRIDE=FY","FILING_STATUS=MR","EQY_CONSOLIDATED=Y","SCALING_FORMAT=MLN","FA_ADJUSTED=GAAP","Sort=A","Dates=H","DateFormat=P","Fill=—","Direction=H","UseDPDF=Y")</f>
        <v>#NAME?</v>
      </c>
      <c r="H58" s="13" t="e" cm="1">
        <f t="array" aca="1" ref="H58" ca="1">_xll.BDH("DATA IN Equity","EBITA","FY 2009","FY 2009","Currency=INR","Period=FY","BEST_FPERIOD_OVERRIDE=FY","FILING_STATUS=MR","EQY_CONSOLIDATED=Y","SCALING_FORMAT=MLN","FA_ADJUSTED=GAAP","Sort=A","Dates=H","DateFormat=P","Fill=—","Direction=H","UseDPDF=Y")</f>
        <v>#NAME?</v>
      </c>
      <c r="I58" s="13" t="e" cm="1">
        <f t="array" aca="1" ref="I58" ca="1">_xll.BDH("DATA IN Equity","EBITA","FY 2010","FY 2010","Currency=INR","Period=FY","BEST_FPERIOD_OVERRIDE=FY","FILING_STATUS=MR","EQY_CONSOLIDATED=Y","SCALING_FORMAT=MLN","FA_ADJUSTED=GAAP","Sort=A","Dates=H","DateFormat=P","Fill=—","Direction=H","UseDPDF=Y")</f>
        <v>#NAME?</v>
      </c>
      <c r="J58" s="13" t="e" cm="1">
        <f t="array" aca="1" ref="J58" ca="1">_xll.BDH("DATA IN Equity","EBITA","FY 2011","FY 2011","Currency=INR","Period=FY","BEST_FPERIOD_OVERRIDE=FY","FILING_STATUS=MR","EQY_CONSOLIDATED=Y","SCALING_FORMAT=MLN","FA_ADJUSTED=GAAP","Sort=A","Dates=H","DateFormat=P","Fill=—","Direction=H","UseDPDF=Y")</f>
        <v>#NAME?</v>
      </c>
      <c r="K58" s="13" t="e" cm="1">
        <f t="array" aca="1" ref="K58" ca="1">_xll.BDH("DATA IN Equity","EBITA","FY 2012","FY 2012","Currency=INR","Period=FY","BEST_FPERIOD_OVERRIDE=FY","FILING_STATUS=MR","EQY_CONSOLIDATED=Y","SCALING_FORMAT=MLN","FA_ADJUSTED=GAAP","Sort=A","Dates=H","DateFormat=P","Fill=—","Direction=H","UseDPDF=Y")</f>
        <v>#NAME?</v>
      </c>
      <c r="L58" s="13" t="e" cm="1">
        <f t="array" aca="1" ref="L58" ca="1">_xll.BDH("DATA IN Equity","EBITA","FY 2013","FY 2013","Currency=INR","Period=FY","BEST_FPERIOD_OVERRIDE=FY","FILING_STATUS=MR","EQY_CONSOLIDATED=Y","SCALING_FORMAT=MLN","FA_ADJUSTED=GAAP","Sort=A","Dates=H","DateFormat=P","Fill=—","Direction=H","UseDPDF=Y")</f>
        <v>#NAME?</v>
      </c>
      <c r="M58" s="13" t="e" cm="1">
        <f t="array" aca="1" ref="M58" ca="1">_xll.BDH("DATA IN Equity","EBITA","FY 2014","FY 2014","Currency=INR","Period=FY","BEST_FPERIOD_OVERRIDE=FY","FILING_STATUS=MR","EQY_CONSOLIDATED=Y","SCALING_FORMAT=MLN","FA_ADJUSTED=GAAP","Sort=A","Dates=H","DateFormat=P","Fill=—","Direction=H","UseDPDF=Y")</f>
        <v>#NAME?</v>
      </c>
      <c r="N58" s="13" t="e" cm="1">
        <f t="array" aca="1" ref="N58" ca="1">_xll.BDH("DATA IN Equity","EBITA","FY 2015","FY 2015","Currency=INR","Period=FY","BEST_FPERIOD_OVERRIDE=FY","FILING_STATUS=MR","EQY_CONSOLIDATED=Y","SCALING_FORMAT=MLN","FA_ADJUSTED=GAAP","Sort=A","Dates=H","DateFormat=P","Fill=—","Direction=H","UseDPDF=Y")</f>
        <v>#NAME?</v>
      </c>
      <c r="O58" s="13" t="e" cm="1">
        <f t="array" aca="1" ref="O58" ca="1">_xll.BDH("DATA IN Equity","EBITA","FY 2016","FY 2016","Currency=INR","Period=FY","BEST_FPERIOD_OVERRIDE=FY","FILING_STATUS=MR","EQY_CONSOLIDATED=Y","SCALING_FORMAT=MLN","FA_ADJUSTED=GAAP","Sort=A","Dates=H","DateFormat=P","Fill=—","Direction=H","UseDPDF=Y")</f>
        <v>#NAME?</v>
      </c>
      <c r="P58" s="13" t="e" cm="1">
        <f t="array" aca="1" ref="P58" ca="1">_xll.BDH("DATA IN Equity","EBITA","FY 2017","FY 2017","Currency=INR","Period=FY","BEST_FPERIOD_OVERRIDE=FY","FILING_STATUS=MR","EQY_CONSOLIDATED=Y","SCALING_FORMAT=MLN","FA_ADJUSTED=GAAP","Sort=A","Dates=H","DateFormat=P","Fill=—","Direction=H","UseDPDF=Y")</f>
        <v>#NAME?</v>
      </c>
      <c r="Q58" s="13" t="e" cm="1">
        <f t="array" aca="1" ref="Q58" ca="1">_xll.BDH("DATA IN Equity","EBITA","FY 2018","FY 2018","Currency=INR","Period=FY","BEST_FPERIOD_OVERRIDE=FY","FILING_STATUS=MR","EQY_CONSOLIDATED=Y","SCALING_FORMAT=MLN","FA_ADJUSTED=GAAP","Sort=A","Dates=H","DateFormat=P","Fill=—","Direction=H","UseDPDF=Y")</f>
        <v>#NAME?</v>
      </c>
      <c r="R58" s="13" t="e" cm="1">
        <f t="array" aca="1" ref="R58" ca="1">_xll.BDH("DATA IN Equity","EBITA","FY 2019","FY 2019","Currency=INR","Period=FY","BEST_FPERIOD_OVERRIDE=FY","FILING_STATUS=MR","EQY_CONSOLIDATED=Y","SCALING_FORMAT=MLN","FA_ADJUSTED=GAAP","Sort=A","Dates=H","DateFormat=P","Fill=—","Direction=H","UseDPDF=Y")</f>
        <v>#NAME?</v>
      </c>
      <c r="S58" s="13" t="e" cm="1">
        <f t="array" aca="1" ref="S58" ca="1">_xll.BDH("DATA IN Equity","EBITA","FY 2020","FY 2020","Currency=INR","Period=FY","BEST_FPERIOD_OVERRIDE=FY","FILING_STATUS=MR","EQY_CONSOLIDATED=Y","SCALING_FORMAT=MLN","FA_ADJUSTED=GAAP","Sort=A","Dates=H","DateFormat=P","Fill=—","Direction=H","UseDPDF=Y")</f>
        <v>#NAME?</v>
      </c>
      <c r="T58" s="13" t="e" cm="1">
        <f t="array" aca="1" ref="T58" ca="1">_xll.BDH("DATA IN Equity","EBITA","FY 2021","FY 2021","Currency=INR","Period=FY","BEST_FPERIOD_OVERRIDE=FY","FILING_STATUS=MR","EQY_CONSOLIDATED=Y","SCALING_FORMAT=MLN","FA_ADJUSTED=GAAP","Sort=A","Dates=H","DateFormat=P","Fill=—","Direction=H","UseDPDF=Y")</f>
        <v>#NAME?</v>
      </c>
      <c r="U58" s="13" t="e" cm="1">
        <f t="array" aca="1" ref="U58" ca="1">_xll.BDH("DATA IN Equity","EBITA","FY 2022","FY 2022","Currency=INR","Period=FY","BEST_FPERIOD_OVERRIDE=FY","FILING_STATUS=MR","EQY_CONSOLIDATED=Y","SCALING_FORMAT=MLN","FA_ADJUSTED=GAAP","Sort=A","Dates=H","DateFormat=P","Fill=—","Direction=H","UseDPDF=Y")</f>
        <v>#NAME?</v>
      </c>
      <c r="V58" s="13" t="e" cm="1">
        <f t="array" aca="1" ref="V58" ca="1">_xll.BDH("DATA IN Equity","EBITA","FY 2023","FY 2023","Currency=INR","Period=FY","BEST_FPERIOD_OVERRIDE=FY","FILING_STATUS=MR","EQY_CONSOLIDATED=Y","SCALING_FORMAT=MLN","FA_ADJUSTED=GAAP","Sort=A","Dates=H","DateFormat=P","Fill=—","Direction=H","UseDPDF=Y")</f>
        <v>#NAME?</v>
      </c>
      <c r="W58" s="13" t="e" cm="1">
        <f t="array" aca="1" ref="W58" ca="1">_xll.BDH("DATA IN Equity","EBITA","FY 2024","FY 2024","Currency=INR","Period=FY","BEST_FPERIOD_OVERRIDE=FY","FILING_STATUS=MR","EQY_CONSOLIDATED=Y","SCALING_FORMAT=MLN","FA_ADJUSTED=GAAP","Sort=A","Dates=H","DateFormat=P","Fill=—","Direction=H","UseDPDF=Y")</f>
        <v>#NAME?</v>
      </c>
      <c r="X58" s="13" t="e" cm="1">
        <f t="array" aca="1" ref="X58" ca="1">_xll.BDH("DATA IN Equity","EBITA","FY 2025","FY 2025","Currency=INR","Period=FY","BEST_FPERIOD_OVERRIDE=FY","FILING_STATUS=MR","EQY_CONSOLIDATED=Y","SCALING_FORMAT=MLN","FA_ADJUSTED=GAAP","Sort=A","Dates=H","DateFormat=P","Fill=—","Direction=H","UseDPDF=Y")</f>
        <v>#NAME?</v>
      </c>
      <c r="Y58" s="16"/>
      <c r="Z58" s="13"/>
      <c r="AA58" s="13"/>
    </row>
    <row r="59" spans="1:27" x14ac:dyDescent="0.2">
      <c r="A59" s="10" t="s">
        <v>209</v>
      </c>
      <c r="B59" s="10" t="s">
        <v>209</v>
      </c>
      <c r="C59" s="13" t="e" cm="1">
        <f t="array" aca="1" ref="C59" ca="1">_xll.BDH("DATA IN Equity","EBIT","FY 2004","FY 2004","Currency=INR","Period=FY","BEST_FPERIOD_OVERRIDE=FY","FILING_STATUS=MR","EQY_CONSOLIDATED=Y","SCALING_FORMAT=MLN","FA_ADJUSTED=GAAP","Sort=A","Dates=H","DateFormat=P","Fill=—","Direction=H","UseDPDF=Y")</f>
        <v>#NAME?</v>
      </c>
      <c r="D59" s="13" t="e" cm="1">
        <f t="array" aca="1" ref="D59" ca="1">_xll.BDH("DATA IN Equity","EBIT","FY 2005","FY 2005","Currency=INR","Period=FY","BEST_FPERIOD_OVERRIDE=FY","FILING_STATUS=MR","EQY_CONSOLIDATED=Y","SCALING_FORMAT=MLN","FA_ADJUSTED=GAAP","Sort=A","Dates=H","DateFormat=P","Fill=—","Direction=H","UseDPDF=Y")</f>
        <v>#NAME?</v>
      </c>
      <c r="E59" s="13" t="e" cm="1">
        <f t="array" aca="1" ref="E59" ca="1">_xll.BDH("DATA IN Equity","EBIT","FY 2006","FY 2006","Currency=INR","Period=FY","BEST_FPERIOD_OVERRIDE=FY","FILING_STATUS=MR","EQY_CONSOLIDATED=Y","SCALING_FORMAT=MLN","FA_ADJUSTED=GAAP","Sort=A","Dates=H","DateFormat=P","Fill=—","Direction=H","UseDPDF=Y")</f>
        <v>#NAME?</v>
      </c>
      <c r="F59" s="13" t="e" cm="1">
        <f t="array" aca="1" ref="F59" ca="1">_xll.BDH("DATA IN Equity","EBIT","FY 2007","FY 2007","Currency=INR","Period=FY","BEST_FPERIOD_OVERRIDE=FY","FILING_STATUS=MR","EQY_CONSOLIDATED=Y","SCALING_FORMAT=MLN","FA_ADJUSTED=GAAP","Sort=A","Dates=H","DateFormat=P","Fill=—","Direction=H","UseDPDF=Y")</f>
        <v>#NAME?</v>
      </c>
      <c r="G59" s="13" t="e" cm="1">
        <f t="array" aca="1" ref="G59" ca="1">_xll.BDH("DATA IN Equity","EBIT","FY 2008","FY 2008","Currency=INR","Period=FY","BEST_FPERIOD_OVERRIDE=FY","FILING_STATUS=MR","EQY_CONSOLIDATED=Y","SCALING_FORMAT=MLN","FA_ADJUSTED=GAAP","Sort=A","Dates=H","DateFormat=P","Fill=—","Direction=H","UseDPDF=Y")</f>
        <v>#NAME?</v>
      </c>
      <c r="H59" s="13" t="e" cm="1">
        <f t="array" aca="1" ref="H59" ca="1">_xll.BDH("DATA IN Equity","EBIT","FY 2009","FY 2009","Currency=INR","Period=FY","BEST_FPERIOD_OVERRIDE=FY","FILING_STATUS=MR","EQY_CONSOLIDATED=Y","SCALING_FORMAT=MLN","FA_ADJUSTED=GAAP","Sort=A","Dates=H","DateFormat=P","Fill=—","Direction=H","UseDPDF=Y")</f>
        <v>#NAME?</v>
      </c>
      <c r="I59" s="13" t="e" cm="1">
        <f t="array" aca="1" ref="I59" ca="1">_xll.BDH("DATA IN Equity","EBIT","FY 2010","FY 2010","Currency=INR","Period=FY","BEST_FPERIOD_OVERRIDE=FY","FILING_STATUS=MR","EQY_CONSOLIDATED=Y","SCALING_FORMAT=MLN","FA_ADJUSTED=GAAP","Sort=A","Dates=H","DateFormat=P","Fill=—","Direction=H","UseDPDF=Y")</f>
        <v>#NAME?</v>
      </c>
      <c r="J59" s="13" t="e" cm="1">
        <f t="array" aca="1" ref="J59" ca="1">_xll.BDH("DATA IN Equity","EBIT","FY 2011","FY 2011","Currency=INR","Period=FY","BEST_FPERIOD_OVERRIDE=FY","FILING_STATUS=MR","EQY_CONSOLIDATED=Y","SCALING_FORMAT=MLN","FA_ADJUSTED=GAAP","Sort=A","Dates=H","DateFormat=P","Fill=—","Direction=H","UseDPDF=Y")</f>
        <v>#NAME?</v>
      </c>
      <c r="K59" s="13" t="e" cm="1">
        <f t="array" aca="1" ref="K59" ca="1">_xll.BDH("DATA IN Equity","EBIT","FY 2012","FY 2012","Currency=INR","Period=FY","BEST_FPERIOD_OVERRIDE=FY","FILING_STATUS=MR","EQY_CONSOLIDATED=Y","SCALING_FORMAT=MLN","FA_ADJUSTED=GAAP","Sort=A","Dates=H","DateFormat=P","Fill=—","Direction=H","UseDPDF=Y")</f>
        <v>#NAME?</v>
      </c>
      <c r="L59" s="13" t="e" cm="1">
        <f t="array" aca="1" ref="L59" ca="1">_xll.BDH("DATA IN Equity","EBIT","FY 2013","FY 2013","Currency=INR","Period=FY","BEST_FPERIOD_OVERRIDE=FY","FILING_STATUS=MR","EQY_CONSOLIDATED=Y","SCALING_FORMAT=MLN","FA_ADJUSTED=GAAP","Sort=A","Dates=H","DateFormat=P","Fill=—","Direction=H","UseDPDF=Y")</f>
        <v>#NAME?</v>
      </c>
      <c r="M59" s="13" t="e" cm="1">
        <f t="array" aca="1" ref="M59" ca="1">_xll.BDH("DATA IN Equity","EBIT","FY 2014","FY 2014","Currency=INR","Period=FY","BEST_FPERIOD_OVERRIDE=FY","FILING_STATUS=MR","EQY_CONSOLIDATED=Y","SCALING_FORMAT=MLN","FA_ADJUSTED=GAAP","Sort=A","Dates=H","DateFormat=P","Fill=—","Direction=H","UseDPDF=Y")</f>
        <v>#NAME?</v>
      </c>
      <c r="N59" s="13" t="e" cm="1">
        <f t="array" aca="1" ref="N59" ca="1">_xll.BDH("DATA IN Equity","EBIT","FY 2015","FY 2015","Currency=INR","Period=FY","BEST_FPERIOD_OVERRIDE=FY","FILING_STATUS=MR","EQY_CONSOLIDATED=Y","SCALING_FORMAT=MLN","FA_ADJUSTED=GAAP","Sort=A","Dates=H","DateFormat=P","Fill=—","Direction=H","UseDPDF=Y")</f>
        <v>#NAME?</v>
      </c>
      <c r="O59" s="13" t="e" cm="1">
        <f t="array" aca="1" ref="O59" ca="1">_xll.BDH("DATA IN Equity","EBIT","FY 2016","FY 2016","Currency=INR","Period=FY","BEST_FPERIOD_OVERRIDE=FY","FILING_STATUS=MR","EQY_CONSOLIDATED=Y","SCALING_FORMAT=MLN","FA_ADJUSTED=GAAP","Sort=A","Dates=H","DateFormat=P","Fill=—","Direction=H","UseDPDF=Y")</f>
        <v>#NAME?</v>
      </c>
      <c r="P59" s="13" t="e" cm="1">
        <f t="array" aca="1" ref="P59" ca="1">_xll.BDH("DATA IN Equity","EBIT","FY 2017","FY 2017","Currency=INR","Period=FY","BEST_FPERIOD_OVERRIDE=FY","FILING_STATUS=MR","EQY_CONSOLIDATED=Y","SCALING_FORMAT=MLN","FA_ADJUSTED=GAAP","Sort=A","Dates=H","DateFormat=P","Fill=—","Direction=H","UseDPDF=Y")</f>
        <v>#NAME?</v>
      </c>
      <c r="Q59" s="13" t="e" cm="1">
        <f t="array" aca="1" ref="Q59" ca="1">_xll.BDH("DATA IN Equity","EBIT","FY 2018","FY 2018","Currency=INR","Period=FY","BEST_FPERIOD_OVERRIDE=FY","FILING_STATUS=MR","EQY_CONSOLIDATED=Y","SCALING_FORMAT=MLN","FA_ADJUSTED=GAAP","Sort=A","Dates=H","DateFormat=P","Fill=—","Direction=H","UseDPDF=Y")</f>
        <v>#NAME?</v>
      </c>
      <c r="R59" s="13" t="e" cm="1">
        <f t="array" aca="1" ref="R59" ca="1">_xll.BDH("DATA IN Equity","EBIT","FY 2019","FY 2019","Currency=INR","Period=FY","BEST_FPERIOD_OVERRIDE=FY","FILING_STATUS=MR","EQY_CONSOLIDATED=Y","SCALING_FORMAT=MLN","FA_ADJUSTED=GAAP","Sort=A","Dates=H","DateFormat=P","Fill=—","Direction=H","UseDPDF=Y")</f>
        <v>#NAME?</v>
      </c>
      <c r="S59" s="13" t="e" cm="1">
        <f t="array" aca="1" ref="S59" ca="1">_xll.BDH("DATA IN Equity","EBIT","FY 2020","FY 2020","Currency=INR","Period=FY","BEST_FPERIOD_OVERRIDE=FY","FILING_STATUS=MR","EQY_CONSOLIDATED=Y","SCALING_FORMAT=MLN","FA_ADJUSTED=GAAP","Sort=A","Dates=H","DateFormat=P","Fill=—","Direction=H","UseDPDF=Y")</f>
        <v>#NAME?</v>
      </c>
      <c r="T59" s="13" t="e" cm="1">
        <f t="array" aca="1" ref="T59" ca="1">_xll.BDH("DATA IN Equity","EBIT","FY 2021","FY 2021","Currency=INR","Period=FY","BEST_FPERIOD_OVERRIDE=FY","FILING_STATUS=MR","EQY_CONSOLIDATED=Y","SCALING_FORMAT=MLN","FA_ADJUSTED=GAAP","Sort=A","Dates=H","DateFormat=P","Fill=—","Direction=H","UseDPDF=Y")</f>
        <v>#NAME?</v>
      </c>
      <c r="U59" s="13" t="e" cm="1">
        <f t="array" aca="1" ref="U59" ca="1">_xll.BDH("DATA IN Equity","EBIT","FY 2022","FY 2022","Currency=INR","Period=FY","BEST_FPERIOD_OVERRIDE=FY","FILING_STATUS=MR","EQY_CONSOLIDATED=Y","SCALING_FORMAT=MLN","FA_ADJUSTED=GAAP","Sort=A","Dates=H","DateFormat=P","Fill=—","Direction=H","UseDPDF=Y")</f>
        <v>#NAME?</v>
      </c>
      <c r="V59" s="13" t="e" cm="1">
        <f t="array" aca="1" ref="V59" ca="1">_xll.BDH("DATA IN Equity","EBIT","FY 2023","FY 2023","Currency=INR","Period=FY","BEST_FPERIOD_OVERRIDE=FY","FILING_STATUS=MR","EQY_CONSOLIDATED=Y","SCALING_FORMAT=MLN","FA_ADJUSTED=GAAP","Sort=A","Dates=H","DateFormat=P","Fill=—","Direction=H","UseDPDF=Y")</f>
        <v>#NAME?</v>
      </c>
      <c r="W59" s="13" t="e" cm="1">
        <f t="array" aca="1" ref="W59" ca="1">_xll.BDH("DATA IN Equity","EBIT","FY 2024","FY 2024","Currency=INR","Period=FY","BEST_FPERIOD_OVERRIDE=FY","FILING_STATUS=MR","EQY_CONSOLIDATED=Y","SCALING_FORMAT=MLN","FA_ADJUSTED=GAAP","Sort=A","Dates=H","DateFormat=P","Fill=—","Direction=H","UseDPDF=Y")</f>
        <v>#NAME?</v>
      </c>
      <c r="X59" s="13" t="e" cm="1">
        <f t="array" aca="1" ref="X59" ca="1">_xll.BDH("DATA IN Equity","EBIT","FY 2025","FY 2025","Currency=INR","Period=FY","BEST_FPERIOD_OVERRIDE=FY","FILING_STATUS=MR","EQY_CONSOLIDATED=Y","SCALING_FORMAT=MLN","FA_ADJUSTED=GAAP","Sort=A","Dates=H","DateFormat=P","Fill=—","Direction=H","UseDPDF=Y")</f>
        <v>#NAME?</v>
      </c>
      <c r="Y59" s="16">
        <v>2139.8000000000002</v>
      </c>
      <c r="Z59" s="13">
        <v>2721</v>
      </c>
      <c r="AA59" s="13">
        <v>3072</v>
      </c>
    </row>
    <row r="60" spans="1:27" x14ac:dyDescent="0.2">
      <c r="A60" s="10" t="s">
        <v>210</v>
      </c>
      <c r="B60" s="10" t="s">
        <v>211</v>
      </c>
      <c r="C60" s="14" t="e" cm="1">
        <f t="array" aca="1" ref="C60" ca="1">_xll.BDH("DATA IN Equity","OPER_MARGIN","FY 2004","FY 2004","Currency=INR","Period=FY","BEST_FPERIOD_OVERRIDE=FY","FILING_STATUS=MR","EQY_CONSOLIDATED=Y","FA_ADJUSTED=GAAP","Sort=A","Dates=H","DateFormat=P","Fill=—","Direction=H","UseDPDF=Y")</f>
        <v>#NAME?</v>
      </c>
      <c r="D60" s="14" t="e" cm="1">
        <f t="array" aca="1" ref="D60" ca="1">_xll.BDH("DATA IN Equity","OPER_MARGIN","FY 2005","FY 2005","Currency=INR","Period=FY","BEST_FPERIOD_OVERRIDE=FY","FILING_STATUS=MR","EQY_CONSOLIDATED=Y","FA_ADJUSTED=GAAP","Sort=A","Dates=H","DateFormat=P","Fill=—","Direction=H","UseDPDF=Y")</f>
        <v>#NAME?</v>
      </c>
      <c r="E60" s="14" t="e" cm="1">
        <f t="array" aca="1" ref="E60" ca="1">_xll.BDH("DATA IN Equity","OPER_MARGIN","FY 2006","FY 2006","Currency=INR","Period=FY","BEST_FPERIOD_OVERRIDE=FY","FILING_STATUS=MR","EQY_CONSOLIDATED=Y","FA_ADJUSTED=GAAP","Sort=A","Dates=H","DateFormat=P","Fill=—","Direction=H","UseDPDF=Y")</f>
        <v>#NAME?</v>
      </c>
      <c r="F60" s="14" t="e" cm="1">
        <f t="array" aca="1" ref="F60" ca="1">_xll.BDH("DATA IN Equity","OPER_MARGIN","FY 2007","FY 2007","Currency=INR","Period=FY","BEST_FPERIOD_OVERRIDE=FY","FILING_STATUS=MR","EQY_CONSOLIDATED=Y","FA_ADJUSTED=GAAP","Sort=A","Dates=H","DateFormat=P","Fill=—","Direction=H","UseDPDF=Y")</f>
        <v>#NAME?</v>
      </c>
      <c r="G60" s="14" t="e" cm="1">
        <f t="array" aca="1" ref="G60" ca="1">_xll.BDH("DATA IN Equity","OPER_MARGIN","FY 2008","FY 2008","Currency=INR","Period=FY","BEST_FPERIOD_OVERRIDE=FY","FILING_STATUS=MR","EQY_CONSOLIDATED=Y","FA_ADJUSTED=GAAP","Sort=A","Dates=H","DateFormat=P","Fill=—","Direction=H","UseDPDF=Y")</f>
        <v>#NAME?</v>
      </c>
      <c r="H60" s="14" t="e" cm="1">
        <f t="array" aca="1" ref="H60" ca="1">_xll.BDH("DATA IN Equity","OPER_MARGIN","FY 2009","FY 2009","Currency=INR","Period=FY","BEST_FPERIOD_OVERRIDE=FY","FILING_STATUS=MR","EQY_CONSOLIDATED=Y","FA_ADJUSTED=GAAP","Sort=A","Dates=H","DateFormat=P","Fill=—","Direction=H","UseDPDF=Y")</f>
        <v>#NAME?</v>
      </c>
      <c r="I60" s="14" t="e" cm="1">
        <f t="array" aca="1" ref="I60" ca="1">_xll.BDH("DATA IN Equity","OPER_MARGIN","FY 2010","FY 2010","Currency=INR","Period=FY","BEST_FPERIOD_OVERRIDE=FY","FILING_STATUS=MR","EQY_CONSOLIDATED=Y","FA_ADJUSTED=GAAP","Sort=A","Dates=H","DateFormat=P","Fill=—","Direction=H","UseDPDF=Y")</f>
        <v>#NAME?</v>
      </c>
      <c r="J60" s="14" t="e" cm="1">
        <f t="array" aca="1" ref="J60" ca="1">_xll.BDH("DATA IN Equity","OPER_MARGIN","FY 2011","FY 2011","Currency=INR","Period=FY","BEST_FPERIOD_OVERRIDE=FY","FILING_STATUS=MR","EQY_CONSOLIDATED=Y","FA_ADJUSTED=GAAP","Sort=A","Dates=H","DateFormat=P","Fill=—","Direction=H","UseDPDF=Y")</f>
        <v>#NAME?</v>
      </c>
      <c r="K60" s="14" t="e" cm="1">
        <f t="array" aca="1" ref="K60" ca="1">_xll.BDH("DATA IN Equity","OPER_MARGIN","FY 2012","FY 2012","Currency=INR","Period=FY","BEST_FPERIOD_OVERRIDE=FY","FILING_STATUS=MR","EQY_CONSOLIDATED=Y","FA_ADJUSTED=GAAP","Sort=A","Dates=H","DateFormat=P","Fill=—","Direction=H","UseDPDF=Y")</f>
        <v>#NAME?</v>
      </c>
      <c r="L60" s="14" t="e" cm="1">
        <f t="array" aca="1" ref="L60" ca="1">_xll.BDH("DATA IN Equity","OPER_MARGIN","FY 2013","FY 2013","Currency=INR","Period=FY","BEST_FPERIOD_OVERRIDE=FY","FILING_STATUS=MR","EQY_CONSOLIDATED=Y","FA_ADJUSTED=GAAP","Sort=A","Dates=H","DateFormat=P","Fill=—","Direction=H","UseDPDF=Y")</f>
        <v>#NAME?</v>
      </c>
      <c r="M60" s="14" t="e" cm="1">
        <f t="array" aca="1" ref="M60" ca="1">_xll.BDH("DATA IN Equity","OPER_MARGIN","FY 2014","FY 2014","Currency=INR","Period=FY","BEST_FPERIOD_OVERRIDE=FY","FILING_STATUS=MR","EQY_CONSOLIDATED=Y","FA_ADJUSTED=GAAP","Sort=A","Dates=H","DateFormat=P","Fill=—","Direction=H","UseDPDF=Y")</f>
        <v>#NAME?</v>
      </c>
      <c r="N60" s="14" t="e" cm="1">
        <f t="array" aca="1" ref="N60" ca="1">_xll.BDH("DATA IN Equity","OPER_MARGIN","FY 2015","FY 2015","Currency=INR","Period=FY","BEST_FPERIOD_OVERRIDE=FY","FILING_STATUS=MR","EQY_CONSOLIDATED=Y","FA_ADJUSTED=GAAP","Sort=A","Dates=H","DateFormat=P","Fill=—","Direction=H","UseDPDF=Y")</f>
        <v>#NAME?</v>
      </c>
      <c r="O60" s="14" t="e" cm="1">
        <f t="array" aca="1" ref="O60" ca="1">_xll.BDH("DATA IN Equity","OPER_MARGIN","FY 2016","FY 2016","Currency=INR","Period=FY","BEST_FPERIOD_OVERRIDE=FY","FILING_STATUS=MR","EQY_CONSOLIDATED=Y","FA_ADJUSTED=GAAP","Sort=A","Dates=H","DateFormat=P","Fill=—","Direction=H","UseDPDF=Y")</f>
        <v>#NAME?</v>
      </c>
      <c r="P60" s="14" t="e" cm="1">
        <f t="array" aca="1" ref="P60" ca="1">_xll.BDH("DATA IN Equity","OPER_MARGIN","FY 2017","FY 2017","Currency=INR","Period=FY","BEST_FPERIOD_OVERRIDE=FY","FILING_STATUS=MR","EQY_CONSOLIDATED=Y","FA_ADJUSTED=GAAP","Sort=A","Dates=H","DateFormat=P","Fill=—","Direction=H","UseDPDF=Y")</f>
        <v>#NAME?</v>
      </c>
      <c r="Q60" s="14" t="e" cm="1">
        <f t="array" aca="1" ref="Q60" ca="1">_xll.BDH("DATA IN Equity","OPER_MARGIN","FY 2018","FY 2018","Currency=INR","Period=FY","BEST_FPERIOD_OVERRIDE=FY","FILING_STATUS=MR","EQY_CONSOLIDATED=Y","FA_ADJUSTED=GAAP","Sort=A","Dates=H","DateFormat=P","Fill=—","Direction=H","UseDPDF=Y")</f>
        <v>#NAME?</v>
      </c>
      <c r="R60" s="14" t="e" cm="1">
        <f t="array" aca="1" ref="R60" ca="1">_xll.BDH("DATA IN Equity","OPER_MARGIN","FY 2019","FY 2019","Currency=INR","Period=FY","BEST_FPERIOD_OVERRIDE=FY","FILING_STATUS=MR","EQY_CONSOLIDATED=Y","FA_ADJUSTED=GAAP","Sort=A","Dates=H","DateFormat=P","Fill=—","Direction=H","UseDPDF=Y")</f>
        <v>#NAME?</v>
      </c>
      <c r="S60" s="14" t="e" cm="1">
        <f t="array" aca="1" ref="S60" ca="1">_xll.BDH("DATA IN Equity","OPER_MARGIN","FY 2020","FY 2020","Currency=INR","Period=FY","BEST_FPERIOD_OVERRIDE=FY","FILING_STATUS=MR","EQY_CONSOLIDATED=Y","FA_ADJUSTED=GAAP","Sort=A","Dates=H","DateFormat=P","Fill=—","Direction=H","UseDPDF=Y")</f>
        <v>#NAME?</v>
      </c>
      <c r="T60" s="14" t="e" cm="1">
        <f t="array" aca="1" ref="T60" ca="1">_xll.BDH("DATA IN Equity","OPER_MARGIN","FY 2021","FY 2021","Currency=INR","Period=FY","BEST_FPERIOD_OVERRIDE=FY","FILING_STATUS=MR","EQY_CONSOLIDATED=Y","FA_ADJUSTED=GAAP","Sort=A","Dates=H","DateFormat=P","Fill=—","Direction=H","UseDPDF=Y")</f>
        <v>#NAME?</v>
      </c>
      <c r="U60" s="14" t="e" cm="1">
        <f t="array" aca="1" ref="U60" ca="1">_xll.BDH("DATA IN Equity","OPER_MARGIN","FY 2022","FY 2022","Currency=INR","Period=FY","BEST_FPERIOD_OVERRIDE=FY","FILING_STATUS=MR","EQY_CONSOLIDATED=Y","FA_ADJUSTED=GAAP","Sort=A","Dates=H","DateFormat=P","Fill=—","Direction=H","UseDPDF=Y")</f>
        <v>#NAME?</v>
      </c>
      <c r="V60" s="14" t="e" cm="1">
        <f t="array" aca="1" ref="V60" ca="1">_xll.BDH("DATA IN Equity","OPER_MARGIN","FY 2023","FY 2023","Currency=INR","Period=FY","BEST_FPERIOD_OVERRIDE=FY","FILING_STATUS=MR","EQY_CONSOLIDATED=Y","FA_ADJUSTED=GAAP","Sort=A","Dates=H","DateFormat=P","Fill=—","Direction=H","UseDPDF=Y")</f>
        <v>#NAME?</v>
      </c>
      <c r="W60" s="14" t="e" cm="1">
        <f t="array" aca="1" ref="W60" ca="1">_xll.BDH("DATA IN Equity","OPER_MARGIN","FY 2024","FY 2024","Currency=INR","Period=FY","BEST_FPERIOD_OVERRIDE=FY","FILING_STATUS=MR","EQY_CONSOLIDATED=Y","FA_ADJUSTED=GAAP","Sort=A","Dates=H","DateFormat=P","Fill=—","Direction=H","UseDPDF=Y")</f>
        <v>#NAME?</v>
      </c>
      <c r="X60" s="14" t="e" cm="1">
        <f t="array" aca="1" ref="X60" ca="1">_xll.BDH("DATA IN Equity","OPER_MARGIN","FY 2025","FY 2025","Currency=INR","Period=FY","BEST_FPERIOD_OVERRIDE=FY","FILING_STATUS=MR","EQY_CONSOLIDATED=Y","FA_ADJUSTED=GAAP","Sort=A","Dates=H","DateFormat=P","Fill=—","Direction=H","UseDPDF=Y")</f>
        <v>#NAME?</v>
      </c>
      <c r="Y60" s="17">
        <v>10.8893457639539</v>
      </c>
      <c r="Z60" s="14">
        <v>13.590729733779501</v>
      </c>
      <c r="AA60" s="14">
        <v>14.048566332830299</v>
      </c>
    </row>
    <row r="61" spans="1:27" x14ac:dyDescent="0.2">
      <c r="A61" s="10" t="s">
        <v>212</v>
      </c>
      <c r="B61" s="10" t="s">
        <v>213</v>
      </c>
      <c r="C61" s="14" t="e" cm="1">
        <f t="array" aca="1" ref="C61" ca="1">_xll.BDH("DATA IN Equity","PROF_MARGIN","FY 2004","FY 2004","Currency=INR","Period=FY","BEST_FPERIOD_OVERRIDE=FY","FILING_STATUS=MR","EQY_CONSOLIDATED=Y","FA_ADJUSTED=GAAP","Sort=A","Dates=H","DateFormat=P","Fill=—","Direction=H","UseDPDF=Y")</f>
        <v>#NAME?</v>
      </c>
      <c r="D61" s="14" t="e" cm="1">
        <f t="array" aca="1" ref="D61" ca="1">_xll.BDH("DATA IN Equity","PROF_MARGIN","FY 2005","FY 2005","Currency=INR","Period=FY","BEST_FPERIOD_OVERRIDE=FY","FILING_STATUS=MR","EQY_CONSOLIDATED=Y","FA_ADJUSTED=GAAP","Sort=A","Dates=H","DateFormat=P","Fill=—","Direction=H","UseDPDF=Y")</f>
        <v>#NAME?</v>
      </c>
      <c r="E61" s="14" t="e" cm="1">
        <f t="array" aca="1" ref="E61" ca="1">_xll.BDH("DATA IN Equity","PROF_MARGIN","FY 2006","FY 2006","Currency=INR","Period=FY","BEST_FPERIOD_OVERRIDE=FY","FILING_STATUS=MR","EQY_CONSOLIDATED=Y","FA_ADJUSTED=GAAP","Sort=A","Dates=H","DateFormat=P","Fill=—","Direction=H","UseDPDF=Y")</f>
        <v>#NAME?</v>
      </c>
      <c r="F61" s="14" t="e" cm="1">
        <f t="array" aca="1" ref="F61" ca="1">_xll.BDH("DATA IN Equity","PROF_MARGIN","FY 2007","FY 2007","Currency=INR","Period=FY","BEST_FPERIOD_OVERRIDE=FY","FILING_STATUS=MR","EQY_CONSOLIDATED=Y","FA_ADJUSTED=GAAP","Sort=A","Dates=H","DateFormat=P","Fill=—","Direction=H","UseDPDF=Y")</f>
        <v>#NAME?</v>
      </c>
      <c r="G61" s="14" t="e" cm="1">
        <f t="array" aca="1" ref="G61" ca="1">_xll.BDH("DATA IN Equity","PROF_MARGIN","FY 2008","FY 2008","Currency=INR","Period=FY","BEST_FPERIOD_OVERRIDE=FY","FILING_STATUS=MR","EQY_CONSOLIDATED=Y","FA_ADJUSTED=GAAP","Sort=A","Dates=H","DateFormat=P","Fill=—","Direction=H","UseDPDF=Y")</f>
        <v>#NAME?</v>
      </c>
      <c r="H61" s="14" t="e" cm="1">
        <f t="array" aca="1" ref="H61" ca="1">_xll.BDH("DATA IN Equity","PROF_MARGIN","FY 2009","FY 2009","Currency=INR","Period=FY","BEST_FPERIOD_OVERRIDE=FY","FILING_STATUS=MR","EQY_CONSOLIDATED=Y","FA_ADJUSTED=GAAP","Sort=A","Dates=H","DateFormat=P","Fill=—","Direction=H","UseDPDF=Y")</f>
        <v>#NAME?</v>
      </c>
      <c r="I61" s="14" t="e" cm="1">
        <f t="array" aca="1" ref="I61" ca="1">_xll.BDH("DATA IN Equity","PROF_MARGIN","FY 2010","FY 2010","Currency=INR","Period=FY","BEST_FPERIOD_OVERRIDE=FY","FILING_STATUS=MR","EQY_CONSOLIDATED=Y","FA_ADJUSTED=GAAP","Sort=A","Dates=H","DateFormat=P","Fill=—","Direction=H","UseDPDF=Y")</f>
        <v>#NAME?</v>
      </c>
      <c r="J61" s="14" t="e" cm="1">
        <f t="array" aca="1" ref="J61" ca="1">_xll.BDH("DATA IN Equity","PROF_MARGIN","FY 2011","FY 2011","Currency=INR","Period=FY","BEST_FPERIOD_OVERRIDE=FY","FILING_STATUS=MR","EQY_CONSOLIDATED=Y","FA_ADJUSTED=GAAP","Sort=A","Dates=H","DateFormat=P","Fill=—","Direction=H","UseDPDF=Y")</f>
        <v>#NAME?</v>
      </c>
      <c r="K61" s="14" t="e" cm="1">
        <f t="array" aca="1" ref="K61" ca="1">_xll.BDH("DATA IN Equity","PROF_MARGIN","FY 2012","FY 2012","Currency=INR","Period=FY","BEST_FPERIOD_OVERRIDE=FY","FILING_STATUS=MR","EQY_CONSOLIDATED=Y","FA_ADJUSTED=GAAP","Sort=A","Dates=H","DateFormat=P","Fill=—","Direction=H","UseDPDF=Y")</f>
        <v>#NAME?</v>
      </c>
      <c r="L61" s="14" t="e" cm="1">
        <f t="array" aca="1" ref="L61" ca="1">_xll.BDH("DATA IN Equity","PROF_MARGIN","FY 2013","FY 2013","Currency=INR","Period=FY","BEST_FPERIOD_OVERRIDE=FY","FILING_STATUS=MR","EQY_CONSOLIDATED=Y","FA_ADJUSTED=GAAP","Sort=A","Dates=H","DateFormat=P","Fill=—","Direction=H","UseDPDF=Y")</f>
        <v>#NAME?</v>
      </c>
      <c r="M61" s="14" t="e" cm="1">
        <f t="array" aca="1" ref="M61" ca="1">_xll.BDH("DATA IN Equity","PROF_MARGIN","FY 2014","FY 2014","Currency=INR","Period=FY","BEST_FPERIOD_OVERRIDE=FY","FILING_STATUS=MR","EQY_CONSOLIDATED=Y","FA_ADJUSTED=GAAP","Sort=A","Dates=H","DateFormat=P","Fill=—","Direction=H","UseDPDF=Y")</f>
        <v>#NAME?</v>
      </c>
      <c r="N61" s="14" t="e" cm="1">
        <f t="array" aca="1" ref="N61" ca="1">_xll.BDH("DATA IN Equity","PROF_MARGIN","FY 2015","FY 2015","Currency=INR","Period=FY","BEST_FPERIOD_OVERRIDE=FY","FILING_STATUS=MR","EQY_CONSOLIDATED=Y","FA_ADJUSTED=GAAP","Sort=A","Dates=H","DateFormat=P","Fill=—","Direction=H","UseDPDF=Y")</f>
        <v>#NAME?</v>
      </c>
      <c r="O61" s="14" t="e" cm="1">
        <f t="array" aca="1" ref="O61" ca="1">_xll.BDH("DATA IN Equity","PROF_MARGIN","FY 2016","FY 2016","Currency=INR","Period=FY","BEST_FPERIOD_OVERRIDE=FY","FILING_STATUS=MR","EQY_CONSOLIDATED=Y","FA_ADJUSTED=GAAP","Sort=A","Dates=H","DateFormat=P","Fill=—","Direction=H","UseDPDF=Y")</f>
        <v>#NAME?</v>
      </c>
      <c r="P61" s="14" t="e" cm="1">
        <f t="array" aca="1" ref="P61" ca="1">_xll.BDH("DATA IN Equity","PROF_MARGIN","FY 2017","FY 2017","Currency=INR","Period=FY","BEST_FPERIOD_OVERRIDE=FY","FILING_STATUS=MR","EQY_CONSOLIDATED=Y","FA_ADJUSTED=GAAP","Sort=A","Dates=H","DateFormat=P","Fill=—","Direction=H","UseDPDF=Y")</f>
        <v>#NAME?</v>
      </c>
      <c r="Q61" s="14" t="e" cm="1">
        <f t="array" aca="1" ref="Q61" ca="1">_xll.BDH("DATA IN Equity","PROF_MARGIN","FY 2018","FY 2018","Currency=INR","Period=FY","BEST_FPERIOD_OVERRIDE=FY","FILING_STATUS=MR","EQY_CONSOLIDATED=Y","FA_ADJUSTED=GAAP","Sort=A","Dates=H","DateFormat=P","Fill=—","Direction=H","UseDPDF=Y")</f>
        <v>#NAME?</v>
      </c>
      <c r="R61" s="14" t="e" cm="1">
        <f t="array" aca="1" ref="R61" ca="1">_xll.BDH("DATA IN Equity","PROF_MARGIN","FY 2019","FY 2019","Currency=INR","Period=FY","BEST_FPERIOD_OVERRIDE=FY","FILING_STATUS=MR","EQY_CONSOLIDATED=Y","FA_ADJUSTED=GAAP","Sort=A","Dates=H","DateFormat=P","Fill=—","Direction=H","UseDPDF=Y")</f>
        <v>#NAME?</v>
      </c>
      <c r="S61" s="14" t="e" cm="1">
        <f t="array" aca="1" ref="S61" ca="1">_xll.BDH("DATA IN Equity","PROF_MARGIN","FY 2020","FY 2020","Currency=INR","Period=FY","BEST_FPERIOD_OVERRIDE=FY","FILING_STATUS=MR","EQY_CONSOLIDATED=Y","FA_ADJUSTED=GAAP","Sort=A","Dates=H","DateFormat=P","Fill=—","Direction=H","UseDPDF=Y")</f>
        <v>#NAME?</v>
      </c>
      <c r="T61" s="14" t="e" cm="1">
        <f t="array" aca="1" ref="T61" ca="1">_xll.BDH("DATA IN Equity","PROF_MARGIN","FY 2021","FY 2021","Currency=INR","Period=FY","BEST_FPERIOD_OVERRIDE=FY","FILING_STATUS=MR","EQY_CONSOLIDATED=Y","FA_ADJUSTED=GAAP","Sort=A","Dates=H","DateFormat=P","Fill=—","Direction=H","UseDPDF=Y")</f>
        <v>#NAME?</v>
      </c>
      <c r="U61" s="14" t="e" cm="1">
        <f t="array" aca="1" ref="U61" ca="1">_xll.BDH("DATA IN Equity","PROF_MARGIN","FY 2022","FY 2022","Currency=INR","Period=FY","BEST_FPERIOD_OVERRIDE=FY","FILING_STATUS=MR","EQY_CONSOLIDATED=Y","FA_ADJUSTED=GAAP","Sort=A","Dates=H","DateFormat=P","Fill=—","Direction=H","UseDPDF=Y")</f>
        <v>#NAME?</v>
      </c>
      <c r="V61" s="14" t="e" cm="1">
        <f t="array" aca="1" ref="V61" ca="1">_xll.BDH("DATA IN Equity","PROF_MARGIN","FY 2023","FY 2023","Currency=INR","Period=FY","BEST_FPERIOD_OVERRIDE=FY","FILING_STATUS=MR","EQY_CONSOLIDATED=Y","FA_ADJUSTED=GAAP","Sort=A","Dates=H","DateFormat=P","Fill=—","Direction=H","UseDPDF=Y")</f>
        <v>#NAME?</v>
      </c>
      <c r="W61" s="14" t="e" cm="1">
        <f t="array" aca="1" ref="W61" ca="1">_xll.BDH("DATA IN Equity","PROF_MARGIN","FY 2024","FY 2024","Currency=INR","Period=FY","BEST_FPERIOD_OVERRIDE=FY","FILING_STATUS=MR","EQY_CONSOLIDATED=Y","FA_ADJUSTED=GAAP","Sort=A","Dates=H","DateFormat=P","Fill=—","Direction=H","UseDPDF=Y")</f>
        <v>#NAME?</v>
      </c>
      <c r="X61" s="14" t="e" cm="1">
        <f t="array" aca="1" ref="X61" ca="1">_xll.BDH("DATA IN Equity","PROF_MARGIN","FY 2025","FY 2025","Currency=INR","Period=FY","BEST_FPERIOD_OVERRIDE=FY","FILING_STATUS=MR","EQY_CONSOLIDATED=Y","FA_ADJUSTED=GAAP","Sort=A","Dates=H","DateFormat=P","Fill=—","Direction=H","UseDPDF=Y")</f>
        <v>#NAME?</v>
      </c>
      <c r="Y61" s="17">
        <v>9.9163375809143801</v>
      </c>
      <c r="Z61" s="14">
        <v>12.4519254782478</v>
      </c>
      <c r="AA61" s="14">
        <v>13.033337906434401</v>
      </c>
    </row>
    <row r="62" spans="1:27" x14ac:dyDescent="0.2">
      <c r="A62" s="10" t="s">
        <v>214</v>
      </c>
      <c r="B62" s="10" t="s">
        <v>215</v>
      </c>
      <c r="C62" s="14" t="e" cm="1">
        <f t="array" aca="1" ref="C62" ca="1">_xll.BDH("DATA IN Equity","ACTUAL_SALES_PER_EMPL","FY 2004","FY 2004","Currency=INR","Period=FY","BEST_FPERIOD_OVERRIDE=FY","FILING_STATUS=MR","EQY_CONSOLIDATED=Y","FA_ADJUSTED=GAAP","Sort=A","Dates=H","DateFormat=P","Fill=—","Direction=H","UseDPDF=Y")</f>
        <v>#NAME?</v>
      </c>
      <c r="D62" s="14" t="e" cm="1">
        <f t="array" aca="1" ref="D62" ca="1">_xll.BDH("DATA IN Equity","ACTUAL_SALES_PER_EMPL","FY 2005","FY 2005","Currency=INR","Period=FY","BEST_FPERIOD_OVERRIDE=FY","FILING_STATUS=MR","EQY_CONSOLIDATED=Y","FA_ADJUSTED=GAAP","Sort=A","Dates=H","DateFormat=P","Fill=—","Direction=H","UseDPDF=Y")</f>
        <v>#NAME?</v>
      </c>
      <c r="E62" s="14" t="e" cm="1">
        <f t="array" aca="1" ref="E62" ca="1">_xll.BDH("DATA IN Equity","ACTUAL_SALES_PER_EMPL","FY 2006","FY 2006","Currency=INR","Period=FY","BEST_FPERIOD_OVERRIDE=FY","FILING_STATUS=MR","EQY_CONSOLIDATED=Y","FA_ADJUSTED=GAAP","Sort=A","Dates=H","DateFormat=P","Fill=—","Direction=H","UseDPDF=Y")</f>
        <v>#NAME?</v>
      </c>
      <c r="F62" s="14" t="e" cm="1">
        <f t="array" aca="1" ref="F62" ca="1">_xll.BDH("DATA IN Equity","ACTUAL_SALES_PER_EMPL","FY 2007","FY 2007","Currency=INR","Period=FY","BEST_FPERIOD_OVERRIDE=FY","FILING_STATUS=MR","EQY_CONSOLIDATED=Y","FA_ADJUSTED=GAAP","Sort=A","Dates=H","DateFormat=P","Fill=—","Direction=H","UseDPDF=Y")</f>
        <v>#NAME?</v>
      </c>
      <c r="G62" s="14" t="e" cm="1">
        <f t="array" aca="1" ref="G62" ca="1">_xll.BDH("DATA IN Equity","ACTUAL_SALES_PER_EMPL","FY 2008","FY 2008","Currency=INR","Period=FY","BEST_FPERIOD_OVERRIDE=FY","FILING_STATUS=MR","EQY_CONSOLIDATED=Y","FA_ADJUSTED=GAAP","Sort=A","Dates=H","DateFormat=P","Fill=—","Direction=H","UseDPDF=Y")</f>
        <v>#NAME?</v>
      </c>
      <c r="H62" s="14" t="e" cm="1">
        <f t="array" aca="1" ref="H62" ca="1">_xll.BDH("DATA IN Equity","ACTUAL_SALES_PER_EMPL","FY 2009","FY 2009","Currency=INR","Period=FY","BEST_FPERIOD_OVERRIDE=FY","FILING_STATUS=MR","EQY_CONSOLIDATED=Y","FA_ADJUSTED=GAAP","Sort=A","Dates=H","DateFormat=P","Fill=—","Direction=H","UseDPDF=Y")</f>
        <v>#NAME?</v>
      </c>
      <c r="I62" s="14" t="e" cm="1">
        <f t="array" aca="1" ref="I62" ca="1">_xll.BDH("DATA IN Equity","ACTUAL_SALES_PER_EMPL","FY 2010","FY 2010","Currency=INR","Period=FY","BEST_FPERIOD_OVERRIDE=FY","FILING_STATUS=MR","EQY_CONSOLIDATED=Y","FA_ADJUSTED=GAAP","Sort=A","Dates=H","DateFormat=P","Fill=—","Direction=H","UseDPDF=Y")</f>
        <v>#NAME?</v>
      </c>
      <c r="J62" s="14" t="e" cm="1">
        <f t="array" aca="1" ref="J62" ca="1">_xll.BDH("DATA IN Equity","ACTUAL_SALES_PER_EMPL","FY 2011","FY 2011","Currency=INR","Period=FY","BEST_FPERIOD_OVERRIDE=FY","FILING_STATUS=MR","EQY_CONSOLIDATED=Y","FA_ADJUSTED=GAAP","Sort=A","Dates=H","DateFormat=P","Fill=—","Direction=H","UseDPDF=Y")</f>
        <v>#NAME?</v>
      </c>
      <c r="K62" s="14" t="e" cm="1">
        <f t="array" aca="1" ref="K62" ca="1">_xll.BDH("DATA IN Equity","ACTUAL_SALES_PER_EMPL","FY 2012","FY 2012","Currency=INR","Period=FY","BEST_FPERIOD_OVERRIDE=FY","FILING_STATUS=MR","EQY_CONSOLIDATED=Y","FA_ADJUSTED=GAAP","Sort=A","Dates=H","DateFormat=P","Fill=—","Direction=H","UseDPDF=Y")</f>
        <v>#NAME?</v>
      </c>
      <c r="L62" s="14" t="e" cm="1">
        <f t="array" aca="1" ref="L62" ca="1">_xll.BDH("DATA IN Equity","ACTUAL_SALES_PER_EMPL","FY 2013","FY 2013","Currency=INR","Period=FY","BEST_FPERIOD_OVERRIDE=FY","FILING_STATUS=MR","EQY_CONSOLIDATED=Y","FA_ADJUSTED=GAAP","Sort=A","Dates=H","DateFormat=P","Fill=—","Direction=H","UseDPDF=Y")</f>
        <v>#NAME?</v>
      </c>
      <c r="M62" s="14" t="e" cm="1">
        <f t="array" aca="1" ref="M62" ca="1">_xll.BDH("DATA IN Equity","ACTUAL_SALES_PER_EMPL","FY 2014","FY 2014","Currency=INR","Period=FY","BEST_FPERIOD_OVERRIDE=FY","FILING_STATUS=MR","EQY_CONSOLIDATED=Y","FA_ADJUSTED=GAAP","Sort=A","Dates=H","DateFormat=P","Fill=—","Direction=H","UseDPDF=Y")</f>
        <v>#NAME?</v>
      </c>
      <c r="N62" s="14" t="e" cm="1">
        <f t="array" aca="1" ref="N62" ca="1">_xll.BDH("DATA IN Equity","ACTUAL_SALES_PER_EMPL","FY 2015","FY 2015","Currency=INR","Period=FY","BEST_FPERIOD_OVERRIDE=FY","FILING_STATUS=MR","EQY_CONSOLIDATED=Y","FA_ADJUSTED=GAAP","Sort=A","Dates=H","DateFormat=P","Fill=—","Direction=H","UseDPDF=Y")</f>
        <v>#NAME?</v>
      </c>
      <c r="O62" s="14" t="e" cm="1">
        <f t="array" aca="1" ref="O62" ca="1">_xll.BDH("DATA IN Equity","ACTUAL_SALES_PER_EMPL","FY 2016","FY 2016","Currency=INR","Period=FY","BEST_FPERIOD_OVERRIDE=FY","FILING_STATUS=MR","EQY_CONSOLIDATED=Y","FA_ADJUSTED=GAAP","Sort=A","Dates=H","DateFormat=P","Fill=—","Direction=H","UseDPDF=Y")</f>
        <v>#NAME?</v>
      </c>
      <c r="P62" s="14" t="e" cm="1">
        <f t="array" aca="1" ref="P62" ca="1">_xll.BDH("DATA IN Equity","ACTUAL_SALES_PER_EMPL","FY 2017","FY 2017","Currency=INR","Period=FY","BEST_FPERIOD_OVERRIDE=FY","FILING_STATUS=MR","EQY_CONSOLIDATED=Y","FA_ADJUSTED=GAAP","Sort=A","Dates=H","DateFormat=P","Fill=—","Direction=H","UseDPDF=Y")</f>
        <v>#NAME?</v>
      </c>
      <c r="Q62" s="14" t="e" cm="1">
        <f t="array" aca="1" ref="Q62" ca="1">_xll.BDH("DATA IN Equity","ACTUAL_SALES_PER_EMPL","FY 2018","FY 2018","Currency=INR","Period=FY","BEST_FPERIOD_OVERRIDE=FY","FILING_STATUS=MR","EQY_CONSOLIDATED=Y","FA_ADJUSTED=GAAP","Sort=A","Dates=H","DateFormat=P","Fill=—","Direction=H","UseDPDF=Y")</f>
        <v>#NAME?</v>
      </c>
      <c r="R62" s="14" t="e" cm="1">
        <f t="array" aca="1" ref="R62" ca="1">_xll.BDH("DATA IN Equity","ACTUAL_SALES_PER_EMPL","FY 2019","FY 2019","Currency=INR","Period=FY","BEST_FPERIOD_OVERRIDE=FY","FILING_STATUS=MR","EQY_CONSOLIDATED=Y","FA_ADJUSTED=GAAP","Sort=A","Dates=H","DateFormat=P","Fill=—","Direction=H","UseDPDF=Y")</f>
        <v>#NAME?</v>
      </c>
      <c r="S62" s="14" t="e" cm="1">
        <f t="array" aca="1" ref="S62" ca="1">_xll.BDH("DATA IN Equity","ACTUAL_SALES_PER_EMPL","FY 2020","FY 2020","Currency=INR","Period=FY","BEST_FPERIOD_OVERRIDE=FY","FILING_STATUS=MR","EQY_CONSOLIDATED=Y","FA_ADJUSTED=GAAP","Sort=A","Dates=H","DateFormat=P","Fill=—","Direction=H","UseDPDF=Y")</f>
        <v>#NAME?</v>
      </c>
      <c r="T62" s="14" t="e" cm="1">
        <f t="array" aca="1" ref="T62" ca="1">_xll.BDH("DATA IN Equity","ACTUAL_SALES_PER_EMPL","FY 2021","FY 2021","Currency=INR","Period=FY","BEST_FPERIOD_OVERRIDE=FY","FILING_STATUS=MR","EQY_CONSOLIDATED=Y","FA_ADJUSTED=GAAP","Sort=A","Dates=H","DateFormat=P","Fill=—","Direction=H","UseDPDF=Y")</f>
        <v>#NAME?</v>
      </c>
      <c r="U62" s="14" t="e" cm="1">
        <f t="array" aca="1" ref="U62" ca="1">_xll.BDH("DATA IN Equity","ACTUAL_SALES_PER_EMPL","FY 2022","FY 2022","Currency=INR","Period=FY","BEST_FPERIOD_OVERRIDE=FY","FILING_STATUS=MR","EQY_CONSOLIDATED=Y","FA_ADJUSTED=GAAP","Sort=A","Dates=H","DateFormat=P","Fill=—","Direction=H","UseDPDF=Y")</f>
        <v>#NAME?</v>
      </c>
      <c r="V62" s="14" t="e" cm="1">
        <f t="array" aca="1" ref="V62" ca="1">_xll.BDH("DATA IN Equity","ACTUAL_SALES_PER_EMPL","FY 2023","FY 2023","Currency=INR","Period=FY","BEST_FPERIOD_OVERRIDE=FY","FILING_STATUS=MR","EQY_CONSOLIDATED=Y","FA_ADJUSTED=GAAP","Sort=A","Dates=H","DateFormat=P","Fill=—","Direction=H","UseDPDF=Y")</f>
        <v>#NAME?</v>
      </c>
      <c r="W62" s="14" t="e" cm="1">
        <f t="array" aca="1" ref="W62" ca="1">_xll.BDH("DATA IN Equity","ACTUAL_SALES_PER_EMPL","FY 2024","FY 2024","Currency=INR","Period=FY","BEST_FPERIOD_OVERRIDE=FY","FILING_STATUS=MR","EQY_CONSOLIDATED=Y","FA_ADJUSTED=GAAP","Sort=A","Dates=H","DateFormat=P","Fill=—","Direction=H","UseDPDF=Y")</f>
        <v>#NAME?</v>
      </c>
      <c r="X62" s="14" t="e" cm="1">
        <f t="array" aca="1" ref="X62" ca="1">_xll.BDH("DATA IN Equity","ACTUAL_SALES_PER_EMPL","FY 2025","FY 2025","Currency=INR","Period=FY","BEST_FPERIOD_OVERRIDE=FY","FILING_STATUS=MR","EQY_CONSOLIDATED=Y","FA_ADJUSTED=GAAP","Sort=A","Dates=H","DateFormat=P","Fill=—","Direction=H","UseDPDF=Y")</f>
        <v>#NAME?</v>
      </c>
      <c r="Y62" s="17"/>
      <c r="Z62" s="14"/>
      <c r="AA62" s="14"/>
    </row>
    <row r="63" spans="1:27" x14ac:dyDescent="0.2">
      <c r="A63" s="10" t="s">
        <v>216</v>
      </c>
      <c r="B63" s="10" t="s">
        <v>217</v>
      </c>
      <c r="C63" s="14" t="e" cm="1">
        <f t="array" aca="1" ref="C63" ca="1">_xll.BDH("DATA IN Equity","EQY_DPS","FY 2004","FY 2004","Currency=INR","Period=FY","BEST_FPERIOD_OVERRIDE=FY","FILING_STATUS=MR","EQY_CONSOLIDATED=Y","Sort=A","Dates=H","DateFormat=P","Fill=—","Direction=H","UseDPDF=Y")</f>
        <v>#NAME?</v>
      </c>
      <c r="D63" s="14" t="e" cm="1">
        <f t="array" aca="1" ref="D63" ca="1">_xll.BDH("DATA IN Equity","EQY_DPS","FY 2005","FY 2005","Currency=INR","Period=FY","BEST_FPERIOD_OVERRIDE=FY","FILING_STATUS=MR","EQY_CONSOLIDATED=Y","Sort=A","Dates=H","DateFormat=P","Fill=—","Direction=H","UseDPDF=Y")</f>
        <v>#NAME?</v>
      </c>
      <c r="E63" s="14" t="e" cm="1">
        <f t="array" aca="1" ref="E63" ca="1">_xll.BDH("DATA IN Equity","EQY_DPS","FY 2006","FY 2006","Currency=INR","Period=FY","BEST_FPERIOD_OVERRIDE=FY","FILING_STATUS=MR","EQY_CONSOLIDATED=Y","Sort=A","Dates=H","DateFormat=P","Fill=—","Direction=H","UseDPDF=Y")</f>
        <v>#NAME?</v>
      </c>
      <c r="F63" s="14" t="e" cm="1">
        <f t="array" aca="1" ref="F63" ca="1">_xll.BDH("DATA IN Equity","EQY_DPS","FY 2007","FY 2007","Currency=INR","Period=FY","BEST_FPERIOD_OVERRIDE=FY","FILING_STATUS=MR","EQY_CONSOLIDATED=Y","Sort=A","Dates=H","DateFormat=P","Fill=—","Direction=H","UseDPDF=Y")</f>
        <v>#NAME?</v>
      </c>
      <c r="G63" s="14" t="e" cm="1">
        <f t="array" aca="1" ref="G63" ca="1">_xll.BDH("DATA IN Equity","EQY_DPS","FY 2008","FY 2008","Currency=INR","Period=FY","BEST_FPERIOD_OVERRIDE=FY","FILING_STATUS=MR","EQY_CONSOLIDATED=Y","Sort=A","Dates=H","DateFormat=P","Fill=—","Direction=H","UseDPDF=Y")</f>
        <v>#NAME?</v>
      </c>
      <c r="H63" s="14" t="e" cm="1">
        <f t="array" aca="1" ref="H63" ca="1">_xll.BDH("DATA IN Equity","EQY_DPS","FY 2009","FY 2009","Currency=INR","Period=FY","BEST_FPERIOD_OVERRIDE=FY","FILING_STATUS=MR","EQY_CONSOLIDATED=Y","Sort=A","Dates=H","DateFormat=P","Fill=—","Direction=H","UseDPDF=Y")</f>
        <v>#NAME?</v>
      </c>
      <c r="I63" s="14" t="e" cm="1">
        <f t="array" aca="1" ref="I63" ca="1">_xll.BDH("DATA IN Equity","EQY_DPS","FY 2010","FY 2010","Currency=INR","Period=FY","BEST_FPERIOD_OVERRIDE=FY","FILING_STATUS=MR","EQY_CONSOLIDATED=Y","Sort=A","Dates=H","DateFormat=P","Fill=—","Direction=H","UseDPDF=Y")</f>
        <v>#NAME?</v>
      </c>
      <c r="J63" s="14" t="e" cm="1">
        <f t="array" aca="1" ref="J63" ca="1">_xll.BDH("DATA IN Equity","EQY_DPS","FY 2011","FY 2011","Currency=INR","Period=FY","BEST_FPERIOD_OVERRIDE=FY","FILING_STATUS=MR","EQY_CONSOLIDATED=Y","Sort=A","Dates=H","DateFormat=P","Fill=—","Direction=H","UseDPDF=Y")</f>
        <v>#NAME?</v>
      </c>
      <c r="K63" s="14" t="e" cm="1">
        <f t="array" aca="1" ref="K63" ca="1">_xll.BDH("DATA IN Equity","EQY_DPS","FY 2012","FY 2012","Currency=INR","Period=FY","BEST_FPERIOD_OVERRIDE=FY","FILING_STATUS=MR","EQY_CONSOLIDATED=Y","Sort=A","Dates=H","DateFormat=P","Fill=—","Direction=H","UseDPDF=Y")</f>
        <v>#NAME?</v>
      </c>
      <c r="L63" s="14" t="e" cm="1">
        <f t="array" aca="1" ref="L63" ca="1">_xll.BDH("DATA IN Equity","EQY_DPS","FY 2013","FY 2013","Currency=INR","Period=FY","BEST_FPERIOD_OVERRIDE=FY","FILING_STATUS=MR","EQY_CONSOLIDATED=Y","Sort=A","Dates=H","DateFormat=P","Fill=—","Direction=H","UseDPDF=Y")</f>
        <v>#NAME?</v>
      </c>
      <c r="M63" s="14" t="e" cm="1">
        <f t="array" aca="1" ref="M63" ca="1">_xll.BDH("DATA IN Equity","EQY_DPS","FY 2014","FY 2014","Currency=INR","Period=FY","BEST_FPERIOD_OVERRIDE=FY","FILING_STATUS=MR","EQY_CONSOLIDATED=Y","Sort=A","Dates=H","DateFormat=P","Fill=—","Direction=H","UseDPDF=Y")</f>
        <v>#NAME?</v>
      </c>
      <c r="N63" s="14" t="e" cm="1">
        <f t="array" aca="1" ref="N63" ca="1">_xll.BDH("DATA IN Equity","EQY_DPS","FY 2015","FY 2015","Currency=INR","Period=FY","BEST_FPERIOD_OVERRIDE=FY","FILING_STATUS=MR","EQY_CONSOLIDATED=Y","Sort=A","Dates=H","DateFormat=P","Fill=—","Direction=H","UseDPDF=Y")</f>
        <v>#NAME?</v>
      </c>
      <c r="O63" s="14" t="e" cm="1">
        <f t="array" aca="1" ref="O63" ca="1">_xll.BDH("DATA IN Equity","EQY_DPS","FY 2016","FY 2016","Currency=INR","Period=FY","BEST_FPERIOD_OVERRIDE=FY","FILING_STATUS=MR","EQY_CONSOLIDATED=Y","Sort=A","Dates=H","DateFormat=P","Fill=—","Direction=H","UseDPDF=Y")</f>
        <v>#NAME?</v>
      </c>
      <c r="P63" s="14" t="e" cm="1">
        <f t="array" aca="1" ref="P63" ca="1">_xll.BDH("DATA IN Equity","EQY_DPS","FY 2017","FY 2017","Currency=INR","Period=FY","BEST_FPERIOD_OVERRIDE=FY","FILING_STATUS=MR","EQY_CONSOLIDATED=Y","Sort=A","Dates=H","DateFormat=P","Fill=—","Direction=H","UseDPDF=Y")</f>
        <v>#NAME?</v>
      </c>
      <c r="Q63" s="14" t="e" cm="1">
        <f t="array" aca="1" ref="Q63" ca="1">_xll.BDH("DATA IN Equity","EQY_DPS","FY 2018","FY 2018","Currency=INR","Period=FY","BEST_FPERIOD_OVERRIDE=FY","FILING_STATUS=MR","EQY_CONSOLIDATED=Y","Sort=A","Dates=H","DateFormat=P","Fill=—","Direction=H","UseDPDF=Y")</f>
        <v>#NAME?</v>
      </c>
      <c r="R63" s="14" t="e" cm="1">
        <f t="array" aca="1" ref="R63" ca="1">_xll.BDH("DATA IN Equity","EQY_DPS","FY 2019","FY 2019","Currency=INR","Period=FY","BEST_FPERIOD_OVERRIDE=FY","FILING_STATUS=MR","EQY_CONSOLIDATED=Y","Sort=A","Dates=H","DateFormat=P","Fill=—","Direction=H","UseDPDF=Y")</f>
        <v>#NAME?</v>
      </c>
      <c r="S63" s="14" t="e" cm="1">
        <f t="array" aca="1" ref="S63" ca="1">_xll.BDH("DATA IN Equity","EQY_DPS","FY 2020","FY 2020","Currency=INR","Period=FY","BEST_FPERIOD_OVERRIDE=FY","FILING_STATUS=MR","EQY_CONSOLIDATED=Y","Sort=A","Dates=H","DateFormat=P","Fill=—","Direction=H","UseDPDF=Y")</f>
        <v>#NAME?</v>
      </c>
      <c r="T63" s="14" t="e" cm="1">
        <f t="array" aca="1" ref="T63" ca="1">_xll.BDH("DATA IN Equity","EQY_DPS","FY 2021","FY 2021","Currency=INR","Period=FY","BEST_FPERIOD_OVERRIDE=FY","FILING_STATUS=MR","EQY_CONSOLIDATED=Y","Sort=A","Dates=H","DateFormat=P","Fill=—","Direction=H","UseDPDF=Y")</f>
        <v>#NAME?</v>
      </c>
      <c r="U63" s="14" t="e" cm="1">
        <f t="array" aca="1" ref="U63" ca="1">_xll.BDH("DATA IN Equity","EQY_DPS","FY 2022","FY 2022","Currency=INR","Period=FY","BEST_FPERIOD_OVERRIDE=FY","FILING_STATUS=MR","EQY_CONSOLIDATED=Y","Sort=A","Dates=H","DateFormat=P","Fill=—","Direction=H","UseDPDF=Y")</f>
        <v>#NAME?</v>
      </c>
      <c r="V63" s="14" t="e" cm="1">
        <f t="array" aca="1" ref="V63" ca="1">_xll.BDH("DATA IN Equity","EQY_DPS","FY 2023","FY 2023","Currency=INR","Period=FY","BEST_FPERIOD_OVERRIDE=FY","FILING_STATUS=MR","EQY_CONSOLIDATED=Y","Sort=A","Dates=H","DateFormat=P","Fill=—","Direction=H","UseDPDF=Y")</f>
        <v>#NAME?</v>
      </c>
      <c r="W63" s="14" t="e" cm="1">
        <f t="array" aca="1" ref="W63" ca="1">_xll.BDH("DATA IN Equity","EQY_DPS","FY 2024","FY 2024","Currency=INR","Period=FY","BEST_FPERIOD_OVERRIDE=FY","FILING_STATUS=MR","EQY_CONSOLIDATED=Y","Sort=A","Dates=H","DateFormat=P","Fill=—","Direction=H","UseDPDF=Y")</f>
        <v>#NAME?</v>
      </c>
      <c r="X63" s="14" t="e" cm="1">
        <f t="array" aca="1" ref="X63" ca="1">_xll.BDH("DATA IN Equity","EQY_DPS","FY 2025","FY 2025","Currency=INR","Period=FY","BEST_FPERIOD_OVERRIDE=FY","FILING_STATUS=MR","EQY_CONSOLIDATED=Y","Sort=A","Dates=H","DateFormat=P","Fill=—","Direction=H","UseDPDF=Y")</f>
        <v>#NAME?</v>
      </c>
      <c r="Y63" s="17"/>
      <c r="Z63" s="14"/>
      <c r="AA63" s="14"/>
    </row>
    <row r="64" spans="1:27" x14ac:dyDescent="0.2">
      <c r="A64" s="10" t="s">
        <v>218</v>
      </c>
      <c r="B64" s="10" t="s">
        <v>219</v>
      </c>
      <c r="C64" s="13" t="e" cm="1">
        <f t="array" aca="1" ref="C64" ca="1">_xll.BDH("DATA IN Equity","IS_TOT_CASH_COM_DVD","FY 2004","FY 2004","Currency=INR","Period=FY","BEST_FPERIOD_OVERRIDE=FY","FILING_STATUS=MR","EQY_CONSOLIDATED=Y","SCALING_FORMAT=MLN","Sort=A","Dates=H","DateFormat=P","Fill=—","Direction=H","UseDPDF=Y")</f>
        <v>#NAME?</v>
      </c>
      <c r="D64" s="13" t="e" cm="1">
        <f t="array" aca="1" ref="D64" ca="1">_xll.BDH("DATA IN Equity","IS_TOT_CASH_COM_DVD","FY 2005","FY 2005","Currency=INR","Period=FY","BEST_FPERIOD_OVERRIDE=FY","FILING_STATUS=MR","EQY_CONSOLIDATED=Y","SCALING_FORMAT=MLN","Sort=A","Dates=H","DateFormat=P","Fill=—","Direction=H","UseDPDF=Y")</f>
        <v>#NAME?</v>
      </c>
      <c r="E64" s="13" t="e" cm="1">
        <f t="array" aca="1" ref="E64" ca="1">_xll.BDH("DATA IN Equity","IS_TOT_CASH_COM_DVD","FY 2006","FY 2006","Currency=INR","Period=FY","BEST_FPERIOD_OVERRIDE=FY","FILING_STATUS=MR","EQY_CONSOLIDATED=Y","SCALING_FORMAT=MLN","Sort=A","Dates=H","DateFormat=P","Fill=—","Direction=H","UseDPDF=Y")</f>
        <v>#NAME?</v>
      </c>
      <c r="F64" s="13" t="e" cm="1">
        <f t="array" aca="1" ref="F64" ca="1">_xll.BDH("DATA IN Equity","IS_TOT_CASH_COM_DVD","FY 2007","FY 2007","Currency=INR","Period=FY","BEST_FPERIOD_OVERRIDE=FY","FILING_STATUS=MR","EQY_CONSOLIDATED=Y","SCALING_FORMAT=MLN","Sort=A","Dates=H","DateFormat=P","Fill=—","Direction=H","UseDPDF=Y")</f>
        <v>#NAME?</v>
      </c>
      <c r="G64" s="13" t="e" cm="1">
        <f t="array" aca="1" ref="G64" ca="1">_xll.BDH("DATA IN Equity","IS_TOT_CASH_COM_DVD","FY 2008","FY 2008","Currency=INR","Period=FY","BEST_FPERIOD_OVERRIDE=FY","FILING_STATUS=MR","EQY_CONSOLIDATED=Y","SCALING_FORMAT=MLN","Sort=A","Dates=H","DateFormat=P","Fill=—","Direction=H","UseDPDF=Y")</f>
        <v>#NAME?</v>
      </c>
      <c r="H64" s="13" t="e" cm="1">
        <f t="array" aca="1" ref="H64" ca="1">_xll.BDH("DATA IN Equity","IS_TOT_CASH_COM_DVD","FY 2009","FY 2009","Currency=INR","Period=FY","BEST_FPERIOD_OVERRIDE=FY","FILING_STATUS=MR","EQY_CONSOLIDATED=Y","SCALING_FORMAT=MLN","Sort=A","Dates=H","DateFormat=P","Fill=—","Direction=H","UseDPDF=Y")</f>
        <v>#NAME?</v>
      </c>
      <c r="I64" s="13" t="e" cm="1">
        <f t="array" aca="1" ref="I64" ca="1">_xll.BDH("DATA IN Equity","IS_TOT_CASH_COM_DVD","FY 2010","FY 2010","Currency=INR","Period=FY","BEST_FPERIOD_OVERRIDE=FY","FILING_STATUS=MR","EQY_CONSOLIDATED=Y","SCALING_FORMAT=MLN","Sort=A","Dates=H","DateFormat=P","Fill=—","Direction=H","UseDPDF=Y")</f>
        <v>#NAME?</v>
      </c>
      <c r="J64" s="13" t="e" cm="1">
        <f t="array" aca="1" ref="J64" ca="1">_xll.BDH("DATA IN Equity","IS_TOT_CASH_COM_DVD","FY 2011","FY 2011","Currency=INR","Period=FY","BEST_FPERIOD_OVERRIDE=FY","FILING_STATUS=MR","EQY_CONSOLIDATED=Y","SCALING_FORMAT=MLN","Sort=A","Dates=H","DateFormat=P","Fill=—","Direction=H","UseDPDF=Y")</f>
        <v>#NAME?</v>
      </c>
      <c r="K64" s="13" t="e" cm="1">
        <f t="array" aca="1" ref="K64" ca="1">_xll.BDH("DATA IN Equity","IS_TOT_CASH_COM_DVD","FY 2012","FY 2012","Currency=INR","Period=FY","BEST_FPERIOD_OVERRIDE=FY","FILING_STATUS=MR","EQY_CONSOLIDATED=Y","SCALING_FORMAT=MLN","Sort=A","Dates=H","DateFormat=P","Fill=—","Direction=H","UseDPDF=Y")</f>
        <v>#NAME?</v>
      </c>
      <c r="L64" s="13" t="e" cm="1">
        <f t="array" aca="1" ref="L64" ca="1">_xll.BDH("DATA IN Equity","IS_TOT_CASH_COM_DVD","FY 2013","FY 2013","Currency=INR","Period=FY","BEST_FPERIOD_OVERRIDE=FY","FILING_STATUS=MR","EQY_CONSOLIDATED=Y","SCALING_FORMAT=MLN","Sort=A","Dates=H","DateFormat=P","Fill=—","Direction=H","UseDPDF=Y")</f>
        <v>#NAME?</v>
      </c>
      <c r="M64" s="13" t="e" cm="1">
        <f t="array" aca="1" ref="M64" ca="1">_xll.BDH("DATA IN Equity","IS_TOT_CASH_COM_DVD","FY 2014","FY 2014","Currency=INR","Period=FY","BEST_FPERIOD_OVERRIDE=FY","FILING_STATUS=MR","EQY_CONSOLIDATED=Y","SCALING_FORMAT=MLN","Sort=A","Dates=H","DateFormat=P","Fill=—","Direction=H","UseDPDF=Y")</f>
        <v>#NAME?</v>
      </c>
      <c r="N64" s="13" t="e" cm="1">
        <f t="array" aca="1" ref="N64" ca="1">_xll.BDH("DATA IN Equity","IS_TOT_CASH_COM_DVD","FY 2015","FY 2015","Currency=INR","Period=FY","BEST_FPERIOD_OVERRIDE=FY","FILING_STATUS=MR","EQY_CONSOLIDATED=Y","SCALING_FORMAT=MLN","Sort=A","Dates=H","DateFormat=P","Fill=—","Direction=H","UseDPDF=Y")</f>
        <v>#NAME?</v>
      </c>
      <c r="O64" s="13" t="e" cm="1">
        <f t="array" aca="1" ref="O64" ca="1">_xll.BDH("DATA IN Equity","IS_TOT_CASH_COM_DVD","FY 2016","FY 2016","Currency=INR","Period=FY","BEST_FPERIOD_OVERRIDE=FY","FILING_STATUS=MR","EQY_CONSOLIDATED=Y","SCALING_FORMAT=MLN","Sort=A","Dates=H","DateFormat=P","Fill=—","Direction=H","UseDPDF=Y")</f>
        <v>#NAME?</v>
      </c>
      <c r="P64" s="13" t="e" cm="1">
        <f t="array" aca="1" ref="P64" ca="1">_xll.BDH("DATA IN Equity","IS_TOT_CASH_COM_DVD","FY 2017","FY 2017","Currency=INR","Period=FY","BEST_FPERIOD_OVERRIDE=FY","FILING_STATUS=MR","EQY_CONSOLIDATED=Y","SCALING_FORMAT=MLN","Sort=A","Dates=H","DateFormat=P","Fill=—","Direction=H","UseDPDF=Y")</f>
        <v>#NAME?</v>
      </c>
      <c r="Q64" s="13" t="e" cm="1">
        <f t="array" aca="1" ref="Q64" ca="1">_xll.BDH("DATA IN Equity","IS_TOT_CASH_COM_DVD","FY 2018","FY 2018","Currency=INR","Period=FY","BEST_FPERIOD_OVERRIDE=FY","FILING_STATUS=MR","EQY_CONSOLIDATED=Y","SCALING_FORMAT=MLN","Sort=A","Dates=H","DateFormat=P","Fill=—","Direction=H","UseDPDF=Y")</f>
        <v>#NAME?</v>
      </c>
      <c r="R64" s="13" t="e" cm="1">
        <f t="array" aca="1" ref="R64" ca="1">_xll.BDH("DATA IN Equity","IS_TOT_CASH_COM_DVD","FY 2019","FY 2019","Currency=INR","Period=FY","BEST_FPERIOD_OVERRIDE=FY","FILING_STATUS=MR","EQY_CONSOLIDATED=Y","SCALING_FORMAT=MLN","Sort=A","Dates=H","DateFormat=P","Fill=—","Direction=H","UseDPDF=Y")</f>
        <v>#NAME?</v>
      </c>
      <c r="S64" s="13" t="e" cm="1">
        <f t="array" aca="1" ref="S64" ca="1">_xll.BDH("DATA IN Equity","IS_TOT_CASH_COM_DVD","FY 2020","FY 2020","Currency=INR","Period=FY","BEST_FPERIOD_OVERRIDE=FY","FILING_STATUS=MR","EQY_CONSOLIDATED=Y","SCALING_FORMAT=MLN","Sort=A","Dates=H","DateFormat=P","Fill=—","Direction=H","UseDPDF=Y")</f>
        <v>#NAME?</v>
      </c>
      <c r="T64" s="13" t="e" cm="1">
        <f t="array" aca="1" ref="T64" ca="1">_xll.BDH("DATA IN Equity","IS_TOT_CASH_COM_DVD","FY 2021","FY 2021","Currency=INR","Period=FY","BEST_FPERIOD_OVERRIDE=FY","FILING_STATUS=MR","EQY_CONSOLIDATED=Y","SCALING_FORMAT=MLN","Sort=A","Dates=H","DateFormat=P","Fill=—","Direction=H","UseDPDF=Y")</f>
        <v>#NAME?</v>
      </c>
      <c r="U64" s="13" t="e" cm="1">
        <f t="array" aca="1" ref="U64" ca="1">_xll.BDH("DATA IN Equity","IS_TOT_CASH_COM_DVD","FY 2022","FY 2022","Currency=INR","Period=FY","BEST_FPERIOD_OVERRIDE=FY","FILING_STATUS=MR","EQY_CONSOLIDATED=Y","SCALING_FORMAT=MLN","Sort=A","Dates=H","DateFormat=P","Fill=—","Direction=H","UseDPDF=Y")</f>
        <v>#NAME?</v>
      </c>
      <c r="V64" s="13" t="e" cm="1">
        <f t="array" aca="1" ref="V64" ca="1">_xll.BDH("DATA IN Equity","IS_TOT_CASH_COM_DVD","FY 2023","FY 2023","Currency=INR","Period=FY","BEST_FPERIOD_OVERRIDE=FY","FILING_STATUS=MR","EQY_CONSOLIDATED=Y","SCALING_FORMAT=MLN","Sort=A","Dates=H","DateFormat=P","Fill=—","Direction=H","UseDPDF=Y")</f>
        <v>#NAME?</v>
      </c>
      <c r="W64" s="13" t="e" cm="1">
        <f t="array" aca="1" ref="W64" ca="1">_xll.BDH("DATA IN Equity","IS_TOT_CASH_COM_DVD","FY 2024","FY 2024","Currency=INR","Period=FY","BEST_FPERIOD_OVERRIDE=FY","FILING_STATUS=MR","EQY_CONSOLIDATED=Y","SCALING_FORMAT=MLN","Sort=A","Dates=H","DateFormat=P","Fill=—","Direction=H","UseDPDF=Y")</f>
        <v>#NAME?</v>
      </c>
      <c r="X64" s="13" t="e" cm="1">
        <f t="array" aca="1" ref="X64" ca="1">_xll.BDH("DATA IN Equity","IS_TOT_CASH_COM_DVD","FY 2025","FY 2025","Currency=INR","Period=FY","BEST_FPERIOD_OVERRIDE=FY","FILING_STATUS=MR","EQY_CONSOLIDATED=Y","SCALING_FORMAT=MLN","Sort=A","Dates=H","DateFormat=P","Fill=—","Direction=H","UseDPDF=Y")</f>
        <v>#NAME?</v>
      </c>
      <c r="Y64" s="16"/>
      <c r="Z64" s="13"/>
      <c r="AA64" s="13"/>
    </row>
    <row r="65" spans="1:27" x14ac:dyDescent="0.2">
      <c r="A65" s="10" t="s">
        <v>220</v>
      </c>
      <c r="B65" s="10" t="s">
        <v>221</v>
      </c>
      <c r="C65" s="13" t="e" cm="1">
        <f t="array" aca="1" ref="C65" ca="1">_xll.BDH("DATA IN Equity","IS_CAP_INT_EXP","FY 2004","FY 2004","Currency=INR","Period=FY","BEST_FPERIOD_OVERRIDE=FY","FILING_STATUS=MR","EQY_CONSOLIDATED=Y","SCALING_FORMAT=MLN","Sort=A","Dates=H","DateFormat=P","Fill=—","Direction=H","UseDPDF=Y")</f>
        <v>#NAME?</v>
      </c>
      <c r="D65" s="13" t="e" cm="1">
        <f t="array" aca="1" ref="D65" ca="1">_xll.BDH("DATA IN Equity","IS_CAP_INT_EXP","FY 2005","FY 2005","Currency=INR","Period=FY","BEST_FPERIOD_OVERRIDE=FY","FILING_STATUS=MR","EQY_CONSOLIDATED=Y","SCALING_FORMAT=MLN","Sort=A","Dates=H","DateFormat=P","Fill=—","Direction=H","UseDPDF=Y")</f>
        <v>#NAME?</v>
      </c>
      <c r="E65" s="13" t="e" cm="1">
        <f t="array" aca="1" ref="E65" ca="1">_xll.BDH("DATA IN Equity","IS_CAP_INT_EXP","FY 2006","FY 2006","Currency=INR","Period=FY","BEST_FPERIOD_OVERRIDE=FY","FILING_STATUS=MR","EQY_CONSOLIDATED=Y","SCALING_FORMAT=MLN","Sort=A","Dates=H","DateFormat=P","Fill=—","Direction=H","UseDPDF=Y")</f>
        <v>#NAME?</v>
      </c>
      <c r="F65" s="13" t="e" cm="1">
        <f t="array" aca="1" ref="F65" ca="1">_xll.BDH("DATA IN Equity","IS_CAP_INT_EXP","FY 2007","FY 2007","Currency=INR","Period=FY","BEST_FPERIOD_OVERRIDE=FY","FILING_STATUS=MR","EQY_CONSOLIDATED=Y","SCALING_FORMAT=MLN","Sort=A","Dates=H","DateFormat=P","Fill=—","Direction=H","UseDPDF=Y")</f>
        <v>#NAME?</v>
      </c>
      <c r="G65" s="13" t="e" cm="1">
        <f t="array" aca="1" ref="G65" ca="1">_xll.BDH("DATA IN Equity","IS_CAP_INT_EXP","FY 2008","FY 2008","Currency=INR","Period=FY","BEST_FPERIOD_OVERRIDE=FY","FILING_STATUS=MR","EQY_CONSOLIDATED=Y","SCALING_FORMAT=MLN","Sort=A","Dates=H","DateFormat=P","Fill=—","Direction=H","UseDPDF=Y")</f>
        <v>#NAME?</v>
      </c>
      <c r="H65" s="13" t="e" cm="1">
        <f t="array" aca="1" ref="H65" ca="1">_xll.BDH("DATA IN Equity","IS_CAP_INT_EXP","FY 2009","FY 2009","Currency=INR","Period=FY","BEST_FPERIOD_OVERRIDE=FY","FILING_STATUS=MR","EQY_CONSOLIDATED=Y","SCALING_FORMAT=MLN","Sort=A","Dates=H","DateFormat=P","Fill=—","Direction=H","UseDPDF=Y")</f>
        <v>#NAME?</v>
      </c>
      <c r="I65" s="13" t="e" cm="1">
        <f t="array" aca="1" ref="I65" ca="1">_xll.BDH("DATA IN Equity","IS_CAP_INT_EXP","FY 2010","FY 2010","Currency=INR","Period=FY","BEST_FPERIOD_OVERRIDE=FY","FILING_STATUS=MR","EQY_CONSOLIDATED=Y","SCALING_FORMAT=MLN","Sort=A","Dates=H","DateFormat=P","Fill=—","Direction=H","UseDPDF=Y")</f>
        <v>#NAME?</v>
      </c>
      <c r="J65" s="13" t="e" cm="1">
        <f t="array" aca="1" ref="J65" ca="1">_xll.BDH("DATA IN Equity","IS_CAP_INT_EXP","FY 2011","FY 2011","Currency=INR","Period=FY","BEST_FPERIOD_OVERRIDE=FY","FILING_STATUS=MR","EQY_CONSOLIDATED=Y","SCALING_FORMAT=MLN","Sort=A","Dates=H","DateFormat=P","Fill=—","Direction=H","UseDPDF=Y")</f>
        <v>#NAME?</v>
      </c>
      <c r="K65" s="13" t="e" cm="1">
        <f t="array" aca="1" ref="K65" ca="1">_xll.BDH("DATA IN Equity","IS_CAP_INT_EXP","FY 2012","FY 2012","Currency=INR","Period=FY","BEST_FPERIOD_OVERRIDE=FY","FILING_STATUS=MR","EQY_CONSOLIDATED=Y","SCALING_FORMAT=MLN","Sort=A","Dates=H","DateFormat=P","Fill=—","Direction=H","UseDPDF=Y")</f>
        <v>#NAME?</v>
      </c>
      <c r="L65" s="13" t="e" cm="1">
        <f t="array" aca="1" ref="L65" ca="1">_xll.BDH("DATA IN Equity","IS_CAP_INT_EXP","FY 2013","FY 2013","Currency=INR","Period=FY","BEST_FPERIOD_OVERRIDE=FY","FILING_STATUS=MR","EQY_CONSOLIDATED=Y","SCALING_FORMAT=MLN","Sort=A","Dates=H","DateFormat=P","Fill=—","Direction=H","UseDPDF=Y")</f>
        <v>#NAME?</v>
      </c>
      <c r="M65" s="13" t="e" cm="1">
        <f t="array" aca="1" ref="M65" ca="1">_xll.BDH("DATA IN Equity","IS_CAP_INT_EXP","FY 2014","FY 2014","Currency=INR","Period=FY","BEST_FPERIOD_OVERRIDE=FY","FILING_STATUS=MR","EQY_CONSOLIDATED=Y","SCALING_FORMAT=MLN","Sort=A","Dates=H","DateFormat=P","Fill=—","Direction=H","UseDPDF=Y")</f>
        <v>#NAME?</v>
      </c>
      <c r="N65" s="13" t="e" cm="1">
        <f t="array" aca="1" ref="N65" ca="1">_xll.BDH("DATA IN Equity","IS_CAP_INT_EXP","FY 2015","FY 2015","Currency=INR","Period=FY","BEST_FPERIOD_OVERRIDE=FY","FILING_STATUS=MR","EQY_CONSOLIDATED=Y","SCALING_FORMAT=MLN","Sort=A","Dates=H","DateFormat=P","Fill=—","Direction=H","UseDPDF=Y")</f>
        <v>#NAME?</v>
      </c>
      <c r="O65" s="13" t="e" cm="1">
        <f t="array" aca="1" ref="O65" ca="1">_xll.BDH("DATA IN Equity","IS_CAP_INT_EXP","FY 2016","FY 2016","Currency=INR","Period=FY","BEST_FPERIOD_OVERRIDE=FY","FILING_STATUS=MR","EQY_CONSOLIDATED=Y","SCALING_FORMAT=MLN","Sort=A","Dates=H","DateFormat=P","Fill=—","Direction=H","UseDPDF=Y")</f>
        <v>#NAME?</v>
      </c>
      <c r="P65" s="13" t="e" cm="1">
        <f t="array" aca="1" ref="P65" ca="1">_xll.BDH("DATA IN Equity","IS_CAP_INT_EXP","FY 2017","FY 2017","Currency=INR","Period=FY","BEST_FPERIOD_OVERRIDE=FY","FILING_STATUS=MR","EQY_CONSOLIDATED=Y","SCALING_FORMAT=MLN","Sort=A","Dates=H","DateFormat=P","Fill=—","Direction=H","UseDPDF=Y")</f>
        <v>#NAME?</v>
      </c>
      <c r="Q65" s="13" t="e" cm="1">
        <f t="array" aca="1" ref="Q65" ca="1">_xll.BDH("DATA IN Equity","IS_CAP_INT_EXP","FY 2018","FY 2018","Currency=INR","Period=FY","BEST_FPERIOD_OVERRIDE=FY","FILING_STATUS=MR","EQY_CONSOLIDATED=Y","SCALING_FORMAT=MLN","Sort=A","Dates=H","DateFormat=P","Fill=—","Direction=H","UseDPDF=Y")</f>
        <v>#NAME?</v>
      </c>
      <c r="R65" s="13" t="e" cm="1">
        <f t="array" aca="1" ref="R65" ca="1">_xll.BDH("DATA IN Equity","IS_CAP_INT_EXP","FY 2019","FY 2019","Currency=INR","Period=FY","BEST_FPERIOD_OVERRIDE=FY","FILING_STATUS=MR","EQY_CONSOLIDATED=Y","SCALING_FORMAT=MLN","Sort=A","Dates=H","DateFormat=P","Fill=—","Direction=H","UseDPDF=Y")</f>
        <v>#NAME?</v>
      </c>
      <c r="S65" s="13" t="e" cm="1">
        <f t="array" aca="1" ref="S65" ca="1">_xll.BDH("DATA IN Equity","IS_CAP_INT_EXP","FY 2020","FY 2020","Currency=INR","Period=FY","BEST_FPERIOD_OVERRIDE=FY","FILING_STATUS=MR","EQY_CONSOLIDATED=Y","SCALING_FORMAT=MLN","Sort=A","Dates=H","DateFormat=P","Fill=—","Direction=H","UseDPDF=Y")</f>
        <v>#NAME?</v>
      </c>
      <c r="T65" s="13" t="e" cm="1">
        <f t="array" aca="1" ref="T65" ca="1">_xll.BDH("DATA IN Equity","IS_CAP_INT_EXP","FY 2021","FY 2021","Currency=INR","Period=FY","BEST_FPERIOD_OVERRIDE=FY","FILING_STATUS=MR","EQY_CONSOLIDATED=Y","SCALING_FORMAT=MLN","Sort=A","Dates=H","DateFormat=P","Fill=—","Direction=H","UseDPDF=Y")</f>
        <v>#NAME?</v>
      </c>
      <c r="U65" s="13" t="e" cm="1">
        <f t="array" aca="1" ref="U65" ca="1">_xll.BDH("DATA IN Equity","IS_CAP_INT_EXP","FY 2022","FY 2022","Currency=INR","Period=FY","BEST_FPERIOD_OVERRIDE=FY","FILING_STATUS=MR","EQY_CONSOLIDATED=Y","SCALING_FORMAT=MLN","Sort=A","Dates=H","DateFormat=P","Fill=—","Direction=H","UseDPDF=Y")</f>
        <v>#NAME?</v>
      </c>
      <c r="V65" s="13" t="e" cm="1">
        <f t="array" aca="1" ref="V65" ca="1">_xll.BDH("DATA IN Equity","IS_CAP_INT_EXP","FY 2023","FY 2023","Currency=INR","Period=FY","BEST_FPERIOD_OVERRIDE=FY","FILING_STATUS=MR","EQY_CONSOLIDATED=Y","SCALING_FORMAT=MLN","Sort=A","Dates=H","DateFormat=P","Fill=—","Direction=H","UseDPDF=Y")</f>
        <v>#NAME?</v>
      </c>
      <c r="W65" s="13" t="e" cm="1">
        <f t="array" aca="1" ref="W65" ca="1">_xll.BDH("DATA IN Equity","IS_CAP_INT_EXP","FY 2024","FY 2024","Currency=INR","Period=FY","BEST_FPERIOD_OVERRIDE=FY","FILING_STATUS=MR","EQY_CONSOLIDATED=Y","SCALING_FORMAT=MLN","Sort=A","Dates=H","DateFormat=P","Fill=—","Direction=H","UseDPDF=Y")</f>
        <v>#NAME?</v>
      </c>
      <c r="X65" s="13" t="e" cm="1">
        <f t="array" aca="1" ref="X65" ca="1">_xll.BDH("DATA IN Equity","IS_CAP_INT_EXP","FY 2025","FY 2025","Currency=INR","Period=FY","BEST_FPERIOD_OVERRIDE=FY","FILING_STATUS=MR","EQY_CONSOLIDATED=Y","SCALING_FORMAT=MLN","Sort=A","Dates=H","DateFormat=P","Fill=—","Direction=H","UseDPDF=Y")</f>
        <v>#NAME?</v>
      </c>
      <c r="Y65" s="16"/>
      <c r="Z65" s="13"/>
      <c r="AA65" s="13"/>
    </row>
    <row r="66" spans="1:27" x14ac:dyDescent="0.2">
      <c r="A66" s="10" t="s">
        <v>222</v>
      </c>
      <c r="B66" s="10" t="s">
        <v>223</v>
      </c>
      <c r="C66" s="13" t="e" cm="1">
        <f t="array" aca="1" ref="C66" ca="1">_xll.BDH("DATA IN Equity","IS_PERSONNEL_EXP","FY 2004","FY 2004","Currency=INR","Period=FY","BEST_FPERIOD_OVERRIDE=FY","FILING_STATUS=MR","EQY_CONSOLIDATED=Y","SCALING_FORMAT=MLN","Sort=A","Dates=H","DateFormat=P","Fill=—","Direction=H","UseDPDF=Y")</f>
        <v>#NAME?</v>
      </c>
      <c r="D66" s="13" t="e" cm="1">
        <f t="array" aca="1" ref="D66" ca="1">_xll.BDH("DATA IN Equity","IS_PERSONNEL_EXP","FY 2005","FY 2005","Currency=INR","Period=FY","BEST_FPERIOD_OVERRIDE=FY","FILING_STATUS=MR","EQY_CONSOLIDATED=Y","SCALING_FORMAT=MLN","Sort=A","Dates=H","DateFormat=P","Fill=—","Direction=H","UseDPDF=Y")</f>
        <v>#NAME?</v>
      </c>
      <c r="E66" s="13" t="e" cm="1">
        <f t="array" aca="1" ref="E66" ca="1">_xll.BDH("DATA IN Equity","IS_PERSONNEL_EXP","FY 2006","FY 2006","Currency=INR","Period=FY","BEST_FPERIOD_OVERRIDE=FY","FILING_STATUS=MR","EQY_CONSOLIDATED=Y","SCALING_FORMAT=MLN","Sort=A","Dates=H","DateFormat=P","Fill=—","Direction=H","UseDPDF=Y")</f>
        <v>#NAME?</v>
      </c>
      <c r="F66" s="13" t="e" cm="1">
        <f t="array" aca="1" ref="F66" ca="1">_xll.BDH("DATA IN Equity","IS_PERSONNEL_EXP","FY 2007","FY 2007","Currency=INR","Period=FY","BEST_FPERIOD_OVERRIDE=FY","FILING_STATUS=MR","EQY_CONSOLIDATED=Y","SCALING_FORMAT=MLN","Sort=A","Dates=H","DateFormat=P","Fill=—","Direction=H","UseDPDF=Y")</f>
        <v>#NAME?</v>
      </c>
      <c r="G66" s="13" t="e" cm="1">
        <f t="array" aca="1" ref="G66" ca="1">_xll.BDH("DATA IN Equity","IS_PERSONNEL_EXP","FY 2008","FY 2008","Currency=INR","Period=FY","BEST_FPERIOD_OVERRIDE=FY","FILING_STATUS=MR","EQY_CONSOLIDATED=Y","SCALING_FORMAT=MLN","Sort=A","Dates=H","DateFormat=P","Fill=—","Direction=H","UseDPDF=Y")</f>
        <v>#NAME?</v>
      </c>
      <c r="H66" s="13" t="e" cm="1">
        <f t="array" aca="1" ref="H66" ca="1">_xll.BDH("DATA IN Equity","IS_PERSONNEL_EXP","FY 2009","FY 2009","Currency=INR","Period=FY","BEST_FPERIOD_OVERRIDE=FY","FILING_STATUS=MR","EQY_CONSOLIDATED=Y","SCALING_FORMAT=MLN","Sort=A","Dates=H","DateFormat=P","Fill=—","Direction=H","UseDPDF=Y")</f>
        <v>#NAME?</v>
      </c>
      <c r="I66" s="13" t="e" cm="1">
        <f t="array" aca="1" ref="I66" ca="1">_xll.BDH("DATA IN Equity","IS_PERSONNEL_EXP","FY 2010","FY 2010","Currency=INR","Period=FY","BEST_FPERIOD_OVERRIDE=FY","FILING_STATUS=MR","EQY_CONSOLIDATED=Y","SCALING_FORMAT=MLN","Sort=A","Dates=H","DateFormat=P","Fill=—","Direction=H","UseDPDF=Y")</f>
        <v>#NAME?</v>
      </c>
      <c r="J66" s="13" t="e" cm="1">
        <f t="array" aca="1" ref="J66" ca="1">_xll.BDH("DATA IN Equity","IS_PERSONNEL_EXP","FY 2011","FY 2011","Currency=INR","Period=FY","BEST_FPERIOD_OVERRIDE=FY","FILING_STATUS=MR","EQY_CONSOLIDATED=Y","SCALING_FORMAT=MLN","Sort=A","Dates=H","DateFormat=P","Fill=—","Direction=H","UseDPDF=Y")</f>
        <v>#NAME?</v>
      </c>
      <c r="K66" s="13" t="e" cm="1">
        <f t="array" aca="1" ref="K66" ca="1">_xll.BDH("DATA IN Equity","IS_PERSONNEL_EXP","FY 2012","FY 2012","Currency=INR","Period=FY","BEST_FPERIOD_OVERRIDE=FY","FILING_STATUS=MR","EQY_CONSOLIDATED=Y","SCALING_FORMAT=MLN","Sort=A","Dates=H","DateFormat=P","Fill=—","Direction=H","UseDPDF=Y")</f>
        <v>#NAME?</v>
      </c>
      <c r="L66" s="13" t="e" cm="1">
        <f t="array" aca="1" ref="L66" ca="1">_xll.BDH("DATA IN Equity","IS_PERSONNEL_EXP","FY 2013","FY 2013","Currency=INR","Period=FY","BEST_FPERIOD_OVERRIDE=FY","FILING_STATUS=MR","EQY_CONSOLIDATED=Y","SCALING_FORMAT=MLN","Sort=A","Dates=H","DateFormat=P","Fill=—","Direction=H","UseDPDF=Y")</f>
        <v>#NAME?</v>
      </c>
      <c r="M66" s="13" t="e" cm="1">
        <f t="array" aca="1" ref="M66" ca="1">_xll.BDH("DATA IN Equity","IS_PERSONNEL_EXP","FY 2014","FY 2014","Currency=INR","Period=FY","BEST_FPERIOD_OVERRIDE=FY","FILING_STATUS=MR","EQY_CONSOLIDATED=Y","SCALING_FORMAT=MLN","Sort=A","Dates=H","DateFormat=P","Fill=—","Direction=H","UseDPDF=Y")</f>
        <v>#NAME?</v>
      </c>
      <c r="N66" s="13" t="e" cm="1">
        <f t="array" aca="1" ref="N66" ca="1">_xll.BDH("DATA IN Equity","IS_PERSONNEL_EXP","FY 2015","FY 2015","Currency=INR","Period=FY","BEST_FPERIOD_OVERRIDE=FY","FILING_STATUS=MR","EQY_CONSOLIDATED=Y","SCALING_FORMAT=MLN","Sort=A","Dates=H","DateFormat=P","Fill=—","Direction=H","UseDPDF=Y")</f>
        <v>#NAME?</v>
      </c>
      <c r="O66" s="13" t="e" cm="1">
        <f t="array" aca="1" ref="O66" ca="1">_xll.BDH("DATA IN Equity","IS_PERSONNEL_EXP","FY 2016","FY 2016","Currency=INR","Period=FY","BEST_FPERIOD_OVERRIDE=FY","FILING_STATUS=MR","EQY_CONSOLIDATED=Y","SCALING_FORMAT=MLN","Sort=A","Dates=H","DateFormat=P","Fill=—","Direction=H","UseDPDF=Y")</f>
        <v>#NAME?</v>
      </c>
      <c r="P66" s="13" t="e" cm="1">
        <f t="array" aca="1" ref="P66" ca="1">_xll.BDH("DATA IN Equity","IS_PERSONNEL_EXP","FY 2017","FY 2017","Currency=INR","Period=FY","BEST_FPERIOD_OVERRIDE=FY","FILING_STATUS=MR","EQY_CONSOLIDATED=Y","SCALING_FORMAT=MLN","Sort=A","Dates=H","DateFormat=P","Fill=—","Direction=H","UseDPDF=Y")</f>
        <v>#NAME?</v>
      </c>
      <c r="Q66" s="13" t="e" cm="1">
        <f t="array" aca="1" ref="Q66" ca="1">_xll.BDH("DATA IN Equity","IS_PERSONNEL_EXP","FY 2018","FY 2018","Currency=INR","Period=FY","BEST_FPERIOD_OVERRIDE=FY","FILING_STATUS=MR","EQY_CONSOLIDATED=Y","SCALING_FORMAT=MLN","Sort=A","Dates=H","DateFormat=P","Fill=—","Direction=H","UseDPDF=Y")</f>
        <v>#NAME?</v>
      </c>
      <c r="R66" s="13" t="e" cm="1">
        <f t="array" aca="1" ref="R66" ca="1">_xll.BDH("DATA IN Equity","IS_PERSONNEL_EXP","FY 2019","FY 2019","Currency=INR","Period=FY","BEST_FPERIOD_OVERRIDE=FY","FILING_STATUS=MR","EQY_CONSOLIDATED=Y","SCALING_FORMAT=MLN","Sort=A","Dates=H","DateFormat=P","Fill=—","Direction=H","UseDPDF=Y")</f>
        <v>#NAME?</v>
      </c>
      <c r="S66" s="13" t="e" cm="1">
        <f t="array" aca="1" ref="S66" ca="1">_xll.BDH("DATA IN Equity","IS_PERSONNEL_EXP","FY 2020","FY 2020","Currency=INR","Period=FY","BEST_FPERIOD_OVERRIDE=FY","FILING_STATUS=MR","EQY_CONSOLIDATED=Y","SCALING_FORMAT=MLN","Sort=A","Dates=H","DateFormat=P","Fill=—","Direction=H","UseDPDF=Y")</f>
        <v>#NAME?</v>
      </c>
      <c r="T66" s="13" t="e" cm="1">
        <f t="array" aca="1" ref="T66" ca="1">_xll.BDH("DATA IN Equity","IS_PERSONNEL_EXP","FY 2021","FY 2021","Currency=INR","Period=FY","BEST_FPERIOD_OVERRIDE=FY","FILING_STATUS=MR","EQY_CONSOLIDATED=Y","SCALING_FORMAT=MLN","Sort=A","Dates=H","DateFormat=P","Fill=—","Direction=H","UseDPDF=Y")</f>
        <v>#NAME?</v>
      </c>
      <c r="U66" s="13" t="e" cm="1">
        <f t="array" aca="1" ref="U66" ca="1">_xll.BDH("DATA IN Equity","IS_PERSONNEL_EXP","FY 2022","FY 2022","Currency=INR","Period=FY","BEST_FPERIOD_OVERRIDE=FY","FILING_STATUS=MR","EQY_CONSOLIDATED=Y","SCALING_FORMAT=MLN","Sort=A","Dates=H","DateFormat=P","Fill=—","Direction=H","UseDPDF=Y")</f>
        <v>#NAME?</v>
      </c>
      <c r="V66" s="13" t="e" cm="1">
        <f t="array" aca="1" ref="V66" ca="1">_xll.BDH("DATA IN Equity","IS_PERSONNEL_EXP","FY 2023","FY 2023","Currency=INR","Period=FY","BEST_FPERIOD_OVERRIDE=FY","FILING_STATUS=MR","EQY_CONSOLIDATED=Y","SCALING_FORMAT=MLN","Sort=A","Dates=H","DateFormat=P","Fill=—","Direction=H","UseDPDF=Y")</f>
        <v>#NAME?</v>
      </c>
      <c r="W66" s="13" t="e" cm="1">
        <f t="array" aca="1" ref="W66" ca="1">_xll.BDH("DATA IN Equity","IS_PERSONNEL_EXP","FY 2024","FY 2024","Currency=INR","Period=FY","BEST_FPERIOD_OVERRIDE=FY","FILING_STATUS=MR","EQY_CONSOLIDATED=Y","SCALING_FORMAT=MLN","Sort=A","Dates=H","DateFormat=P","Fill=—","Direction=H","UseDPDF=Y")</f>
        <v>#NAME?</v>
      </c>
      <c r="X66" s="13" t="e" cm="1">
        <f t="array" aca="1" ref="X66" ca="1">_xll.BDH("DATA IN Equity","IS_PERSONNEL_EXP","FY 2025","FY 2025","Currency=INR","Period=FY","BEST_FPERIOD_OVERRIDE=FY","FILING_STATUS=MR","EQY_CONSOLIDATED=Y","SCALING_FORMAT=MLN","Sort=A","Dates=H","DateFormat=P","Fill=—","Direction=H","UseDPDF=Y")</f>
        <v>#NAME?</v>
      </c>
      <c r="Y66" s="16">
        <v>12350</v>
      </c>
      <c r="Z66" s="13"/>
      <c r="AA66" s="13"/>
    </row>
    <row r="67" spans="1:27" x14ac:dyDescent="0.2">
      <c r="A67" s="10" t="s">
        <v>224</v>
      </c>
      <c r="B67" s="10" t="s">
        <v>225</v>
      </c>
      <c r="C67" s="13" t="e" cm="1">
        <f t="array" aca="1" ref="C67" ca="1">_xll.BDH("DATA IN Equity","IS_EXPORT_SALES","FY 2004","FY 2004","Currency=INR","Period=FY","BEST_FPERIOD_OVERRIDE=FY","FILING_STATUS=MR","EQY_CONSOLIDATED=Y","SCALING_FORMAT=MLN","Sort=A","Dates=H","DateFormat=P","Fill=—","Direction=H","UseDPDF=Y")</f>
        <v>#NAME?</v>
      </c>
      <c r="D67" s="13" t="e" cm="1">
        <f t="array" aca="1" ref="D67" ca="1">_xll.BDH("DATA IN Equity","IS_EXPORT_SALES","FY 2005","FY 2005","Currency=INR","Period=FY","BEST_FPERIOD_OVERRIDE=FY","FILING_STATUS=MR","EQY_CONSOLIDATED=Y","SCALING_FORMAT=MLN","Sort=A","Dates=H","DateFormat=P","Fill=—","Direction=H","UseDPDF=Y")</f>
        <v>#NAME?</v>
      </c>
      <c r="E67" s="13" t="e" cm="1">
        <f t="array" aca="1" ref="E67" ca="1">_xll.BDH("DATA IN Equity","IS_EXPORT_SALES","FY 2006","FY 2006","Currency=INR","Period=FY","BEST_FPERIOD_OVERRIDE=FY","FILING_STATUS=MR","EQY_CONSOLIDATED=Y","SCALING_FORMAT=MLN","Sort=A","Dates=H","DateFormat=P","Fill=—","Direction=H","UseDPDF=Y")</f>
        <v>#NAME?</v>
      </c>
      <c r="F67" s="13" t="e" cm="1">
        <f t="array" aca="1" ref="F67" ca="1">_xll.BDH("DATA IN Equity","IS_EXPORT_SALES","FY 2007","FY 2007","Currency=INR","Period=FY","BEST_FPERIOD_OVERRIDE=FY","FILING_STATUS=MR","EQY_CONSOLIDATED=Y","SCALING_FORMAT=MLN","Sort=A","Dates=H","DateFormat=P","Fill=—","Direction=H","UseDPDF=Y")</f>
        <v>#NAME?</v>
      </c>
      <c r="G67" s="13" t="e" cm="1">
        <f t="array" aca="1" ref="G67" ca="1">_xll.BDH("DATA IN Equity","IS_EXPORT_SALES","FY 2008","FY 2008","Currency=INR","Period=FY","BEST_FPERIOD_OVERRIDE=FY","FILING_STATUS=MR","EQY_CONSOLIDATED=Y","SCALING_FORMAT=MLN","Sort=A","Dates=H","DateFormat=P","Fill=—","Direction=H","UseDPDF=Y")</f>
        <v>#NAME?</v>
      </c>
      <c r="H67" s="13" t="e" cm="1">
        <f t="array" aca="1" ref="H67" ca="1">_xll.BDH("DATA IN Equity","IS_EXPORT_SALES","FY 2009","FY 2009","Currency=INR","Period=FY","BEST_FPERIOD_OVERRIDE=FY","FILING_STATUS=MR","EQY_CONSOLIDATED=Y","SCALING_FORMAT=MLN","Sort=A","Dates=H","DateFormat=P","Fill=—","Direction=H","UseDPDF=Y")</f>
        <v>#NAME?</v>
      </c>
      <c r="I67" s="13" t="e" cm="1">
        <f t="array" aca="1" ref="I67" ca="1">_xll.BDH("DATA IN Equity","IS_EXPORT_SALES","FY 2010","FY 2010","Currency=INR","Period=FY","BEST_FPERIOD_OVERRIDE=FY","FILING_STATUS=MR","EQY_CONSOLIDATED=Y","SCALING_FORMAT=MLN","Sort=A","Dates=H","DateFormat=P","Fill=—","Direction=H","UseDPDF=Y")</f>
        <v>#NAME?</v>
      </c>
      <c r="J67" s="13" t="e" cm="1">
        <f t="array" aca="1" ref="J67" ca="1">_xll.BDH("DATA IN Equity","IS_EXPORT_SALES","FY 2011","FY 2011","Currency=INR","Period=FY","BEST_FPERIOD_OVERRIDE=FY","FILING_STATUS=MR","EQY_CONSOLIDATED=Y","SCALING_FORMAT=MLN","Sort=A","Dates=H","DateFormat=P","Fill=—","Direction=H","UseDPDF=Y")</f>
        <v>#NAME?</v>
      </c>
      <c r="K67" s="13" t="e" cm="1">
        <f t="array" aca="1" ref="K67" ca="1">_xll.BDH("DATA IN Equity","IS_EXPORT_SALES","FY 2012","FY 2012","Currency=INR","Period=FY","BEST_FPERIOD_OVERRIDE=FY","FILING_STATUS=MR","EQY_CONSOLIDATED=Y","SCALING_FORMAT=MLN","Sort=A","Dates=H","DateFormat=P","Fill=—","Direction=H","UseDPDF=Y")</f>
        <v>#NAME?</v>
      </c>
      <c r="L67" s="13" t="e" cm="1">
        <f t="array" aca="1" ref="L67" ca="1">_xll.BDH("DATA IN Equity","IS_EXPORT_SALES","FY 2013","FY 2013","Currency=INR","Period=FY","BEST_FPERIOD_OVERRIDE=FY","FILING_STATUS=MR","EQY_CONSOLIDATED=Y","SCALING_FORMAT=MLN","Sort=A","Dates=H","DateFormat=P","Fill=—","Direction=H","UseDPDF=Y")</f>
        <v>#NAME?</v>
      </c>
      <c r="M67" s="13" t="e" cm="1">
        <f t="array" aca="1" ref="M67" ca="1">_xll.BDH("DATA IN Equity","IS_EXPORT_SALES","FY 2014","FY 2014","Currency=INR","Period=FY","BEST_FPERIOD_OVERRIDE=FY","FILING_STATUS=MR","EQY_CONSOLIDATED=Y","SCALING_FORMAT=MLN","Sort=A","Dates=H","DateFormat=P","Fill=—","Direction=H","UseDPDF=Y")</f>
        <v>#NAME?</v>
      </c>
      <c r="N67" s="13" t="e" cm="1">
        <f t="array" aca="1" ref="N67" ca="1">_xll.BDH("DATA IN Equity","IS_EXPORT_SALES","FY 2015","FY 2015","Currency=INR","Period=FY","BEST_FPERIOD_OVERRIDE=FY","FILING_STATUS=MR","EQY_CONSOLIDATED=Y","SCALING_FORMAT=MLN","Sort=A","Dates=H","DateFormat=P","Fill=—","Direction=H","UseDPDF=Y")</f>
        <v>#NAME?</v>
      </c>
      <c r="O67" s="13" t="e" cm="1">
        <f t="array" aca="1" ref="O67" ca="1">_xll.BDH("DATA IN Equity","IS_EXPORT_SALES","FY 2016","FY 2016","Currency=INR","Period=FY","BEST_FPERIOD_OVERRIDE=FY","FILING_STATUS=MR","EQY_CONSOLIDATED=Y","SCALING_FORMAT=MLN","Sort=A","Dates=H","DateFormat=P","Fill=—","Direction=H","UseDPDF=Y")</f>
        <v>#NAME?</v>
      </c>
      <c r="P67" s="13" t="e" cm="1">
        <f t="array" aca="1" ref="P67" ca="1">_xll.BDH("DATA IN Equity","IS_EXPORT_SALES","FY 2017","FY 2017","Currency=INR","Period=FY","BEST_FPERIOD_OVERRIDE=FY","FILING_STATUS=MR","EQY_CONSOLIDATED=Y","SCALING_FORMAT=MLN","Sort=A","Dates=H","DateFormat=P","Fill=—","Direction=H","UseDPDF=Y")</f>
        <v>#NAME?</v>
      </c>
      <c r="Q67" s="13" t="e" cm="1">
        <f t="array" aca="1" ref="Q67" ca="1">_xll.BDH("DATA IN Equity","IS_EXPORT_SALES","FY 2018","FY 2018","Currency=INR","Period=FY","BEST_FPERIOD_OVERRIDE=FY","FILING_STATUS=MR","EQY_CONSOLIDATED=Y","SCALING_FORMAT=MLN","Sort=A","Dates=H","DateFormat=P","Fill=—","Direction=H","UseDPDF=Y")</f>
        <v>#NAME?</v>
      </c>
      <c r="R67" s="13" t="e" cm="1">
        <f t="array" aca="1" ref="R67" ca="1">_xll.BDH("DATA IN Equity","IS_EXPORT_SALES","FY 2019","FY 2019","Currency=INR","Period=FY","BEST_FPERIOD_OVERRIDE=FY","FILING_STATUS=MR","EQY_CONSOLIDATED=Y","SCALING_FORMAT=MLN","Sort=A","Dates=H","DateFormat=P","Fill=—","Direction=H","UseDPDF=Y")</f>
        <v>#NAME?</v>
      </c>
      <c r="S67" s="13" t="e" cm="1">
        <f t="array" aca="1" ref="S67" ca="1">_xll.BDH("DATA IN Equity","IS_EXPORT_SALES","FY 2020","FY 2020","Currency=INR","Period=FY","BEST_FPERIOD_OVERRIDE=FY","FILING_STATUS=MR","EQY_CONSOLIDATED=Y","SCALING_FORMAT=MLN","Sort=A","Dates=H","DateFormat=P","Fill=—","Direction=H","UseDPDF=Y")</f>
        <v>#NAME?</v>
      </c>
      <c r="T67" s="13" t="e" cm="1">
        <f t="array" aca="1" ref="T67" ca="1">_xll.BDH("DATA IN Equity","IS_EXPORT_SALES","FY 2021","FY 2021","Currency=INR","Period=FY","BEST_FPERIOD_OVERRIDE=FY","FILING_STATUS=MR","EQY_CONSOLIDATED=Y","SCALING_FORMAT=MLN","Sort=A","Dates=H","DateFormat=P","Fill=—","Direction=H","UseDPDF=Y")</f>
        <v>#NAME?</v>
      </c>
      <c r="U67" s="13" t="e" cm="1">
        <f t="array" aca="1" ref="U67" ca="1">_xll.BDH("DATA IN Equity","IS_EXPORT_SALES","FY 2022","FY 2022","Currency=INR","Period=FY","BEST_FPERIOD_OVERRIDE=FY","FILING_STATUS=MR","EQY_CONSOLIDATED=Y","SCALING_FORMAT=MLN","Sort=A","Dates=H","DateFormat=P","Fill=—","Direction=H","UseDPDF=Y")</f>
        <v>#NAME?</v>
      </c>
      <c r="V67" s="13" t="e" cm="1">
        <f t="array" aca="1" ref="V67" ca="1">_xll.BDH("DATA IN Equity","IS_EXPORT_SALES","FY 2023","FY 2023","Currency=INR","Period=FY","BEST_FPERIOD_OVERRIDE=FY","FILING_STATUS=MR","EQY_CONSOLIDATED=Y","SCALING_FORMAT=MLN","Sort=A","Dates=H","DateFormat=P","Fill=—","Direction=H","UseDPDF=Y")</f>
        <v>#NAME?</v>
      </c>
      <c r="W67" s="13" t="e" cm="1">
        <f t="array" aca="1" ref="W67" ca="1">_xll.BDH("DATA IN Equity","IS_EXPORT_SALES","FY 2024","FY 2024","Currency=INR","Period=FY","BEST_FPERIOD_OVERRIDE=FY","FILING_STATUS=MR","EQY_CONSOLIDATED=Y","SCALING_FORMAT=MLN","Sort=A","Dates=H","DateFormat=P","Fill=—","Direction=H","UseDPDF=Y")</f>
        <v>#NAME?</v>
      </c>
      <c r="X67" s="13" t="e" cm="1">
        <f t="array" aca="1" ref="X67" ca="1">_xll.BDH("DATA IN Equity","IS_EXPORT_SALES","FY 2025","FY 2025","Currency=INR","Period=FY","BEST_FPERIOD_OVERRIDE=FY","FILING_STATUS=MR","EQY_CONSOLIDATED=Y","SCALING_FORMAT=MLN","Sort=A","Dates=H","DateFormat=P","Fill=—","Direction=H","UseDPDF=Y")</f>
        <v>#NAME?</v>
      </c>
      <c r="Y67" s="16"/>
      <c r="Z67" s="13"/>
      <c r="AA67" s="13"/>
    </row>
    <row r="68" spans="1:27" x14ac:dyDescent="0.2">
      <c r="A68" s="10" t="s">
        <v>226</v>
      </c>
      <c r="B68" s="10" t="s">
        <v>227</v>
      </c>
      <c r="C68" s="13" t="e" cm="1">
        <f t="array" aca="1" ref="C68" ca="1">_xll.BDH("DATA IN Equity","IS_DEPR_EXP","FY 2004","FY 2004","Currency=INR","Period=FY","BEST_FPERIOD_OVERRIDE=FY","FILING_STATUS=MR","EQY_CONSOLIDATED=Y","SCALING_FORMAT=MLN","Sort=A","Dates=H","DateFormat=P","Fill=—","Direction=H","UseDPDF=Y")</f>
        <v>#NAME?</v>
      </c>
      <c r="D68" s="13" t="e" cm="1">
        <f t="array" aca="1" ref="D68" ca="1">_xll.BDH("DATA IN Equity","IS_DEPR_EXP","FY 2005","FY 2005","Currency=INR","Period=FY","BEST_FPERIOD_OVERRIDE=FY","FILING_STATUS=MR","EQY_CONSOLIDATED=Y","SCALING_FORMAT=MLN","Sort=A","Dates=H","DateFormat=P","Fill=—","Direction=H","UseDPDF=Y")</f>
        <v>#NAME?</v>
      </c>
      <c r="E68" s="13" t="e" cm="1">
        <f t="array" aca="1" ref="E68" ca="1">_xll.BDH("DATA IN Equity","IS_DEPR_EXP","FY 2006","FY 2006","Currency=INR","Period=FY","BEST_FPERIOD_OVERRIDE=FY","FILING_STATUS=MR","EQY_CONSOLIDATED=Y","SCALING_FORMAT=MLN","Sort=A","Dates=H","DateFormat=P","Fill=—","Direction=H","UseDPDF=Y")</f>
        <v>#NAME?</v>
      </c>
      <c r="F68" s="13" t="e" cm="1">
        <f t="array" aca="1" ref="F68" ca="1">_xll.BDH("DATA IN Equity","IS_DEPR_EXP","FY 2007","FY 2007","Currency=INR","Period=FY","BEST_FPERIOD_OVERRIDE=FY","FILING_STATUS=MR","EQY_CONSOLIDATED=Y","SCALING_FORMAT=MLN","Sort=A","Dates=H","DateFormat=P","Fill=—","Direction=H","UseDPDF=Y")</f>
        <v>#NAME?</v>
      </c>
      <c r="G68" s="13" t="e" cm="1">
        <f t="array" aca="1" ref="G68" ca="1">_xll.BDH("DATA IN Equity","IS_DEPR_EXP","FY 2008","FY 2008","Currency=INR","Period=FY","BEST_FPERIOD_OVERRIDE=FY","FILING_STATUS=MR","EQY_CONSOLIDATED=Y","SCALING_FORMAT=MLN","Sort=A","Dates=H","DateFormat=P","Fill=—","Direction=H","UseDPDF=Y")</f>
        <v>#NAME?</v>
      </c>
      <c r="H68" s="13" t="e" cm="1">
        <f t="array" aca="1" ref="H68" ca="1">_xll.BDH("DATA IN Equity","IS_DEPR_EXP","FY 2009","FY 2009","Currency=INR","Period=FY","BEST_FPERIOD_OVERRIDE=FY","FILING_STATUS=MR","EQY_CONSOLIDATED=Y","SCALING_FORMAT=MLN","Sort=A","Dates=H","DateFormat=P","Fill=—","Direction=H","UseDPDF=Y")</f>
        <v>#NAME?</v>
      </c>
      <c r="I68" s="13" t="e" cm="1">
        <f t="array" aca="1" ref="I68" ca="1">_xll.BDH("DATA IN Equity","IS_DEPR_EXP","FY 2010","FY 2010","Currency=INR","Period=FY","BEST_FPERIOD_OVERRIDE=FY","FILING_STATUS=MR","EQY_CONSOLIDATED=Y","SCALING_FORMAT=MLN","Sort=A","Dates=H","DateFormat=P","Fill=—","Direction=H","UseDPDF=Y")</f>
        <v>#NAME?</v>
      </c>
      <c r="J68" s="13" t="e" cm="1">
        <f t="array" aca="1" ref="J68" ca="1">_xll.BDH("DATA IN Equity","IS_DEPR_EXP","FY 2011","FY 2011","Currency=INR","Period=FY","BEST_FPERIOD_OVERRIDE=FY","FILING_STATUS=MR","EQY_CONSOLIDATED=Y","SCALING_FORMAT=MLN","Sort=A","Dates=H","DateFormat=P","Fill=—","Direction=H","UseDPDF=Y")</f>
        <v>#NAME?</v>
      </c>
      <c r="K68" s="13" t="e" cm="1">
        <f t="array" aca="1" ref="K68" ca="1">_xll.BDH("DATA IN Equity","IS_DEPR_EXP","FY 2012","FY 2012","Currency=INR","Period=FY","BEST_FPERIOD_OVERRIDE=FY","FILING_STATUS=MR","EQY_CONSOLIDATED=Y","SCALING_FORMAT=MLN","Sort=A","Dates=H","DateFormat=P","Fill=—","Direction=H","UseDPDF=Y")</f>
        <v>#NAME?</v>
      </c>
      <c r="L68" s="13" t="e" cm="1">
        <f t="array" aca="1" ref="L68" ca="1">_xll.BDH("DATA IN Equity","IS_DEPR_EXP","FY 2013","FY 2013","Currency=INR","Period=FY","BEST_FPERIOD_OVERRIDE=FY","FILING_STATUS=MR","EQY_CONSOLIDATED=Y","SCALING_FORMAT=MLN","Sort=A","Dates=H","DateFormat=P","Fill=—","Direction=H","UseDPDF=Y")</f>
        <v>#NAME?</v>
      </c>
      <c r="M68" s="13" t="e" cm="1">
        <f t="array" aca="1" ref="M68" ca="1">_xll.BDH("DATA IN Equity","IS_DEPR_EXP","FY 2014","FY 2014","Currency=INR","Period=FY","BEST_FPERIOD_OVERRIDE=FY","FILING_STATUS=MR","EQY_CONSOLIDATED=Y","SCALING_FORMAT=MLN","Sort=A","Dates=H","DateFormat=P","Fill=—","Direction=H","UseDPDF=Y")</f>
        <v>#NAME?</v>
      </c>
      <c r="N68" s="13" t="e" cm="1">
        <f t="array" aca="1" ref="N68" ca="1">_xll.BDH("DATA IN Equity","IS_DEPR_EXP","FY 2015","FY 2015","Currency=INR","Period=FY","BEST_FPERIOD_OVERRIDE=FY","FILING_STATUS=MR","EQY_CONSOLIDATED=Y","SCALING_FORMAT=MLN","Sort=A","Dates=H","DateFormat=P","Fill=—","Direction=H","UseDPDF=Y")</f>
        <v>#NAME?</v>
      </c>
      <c r="O68" s="13" t="e" cm="1">
        <f t="array" aca="1" ref="O68" ca="1">_xll.BDH("DATA IN Equity","IS_DEPR_EXP","FY 2016","FY 2016","Currency=INR","Period=FY","BEST_FPERIOD_OVERRIDE=FY","FILING_STATUS=MR","EQY_CONSOLIDATED=Y","SCALING_FORMAT=MLN","Sort=A","Dates=H","DateFormat=P","Fill=—","Direction=H","UseDPDF=Y")</f>
        <v>#NAME?</v>
      </c>
      <c r="P68" s="13" t="e" cm="1">
        <f t="array" aca="1" ref="P68" ca="1">_xll.BDH("DATA IN Equity","IS_DEPR_EXP","FY 2017","FY 2017","Currency=INR","Period=FY","BEST_FPERIOD_OVERRIDE=FY","FILING_STATUS=MR","EQY_CONSOLIDATED=Y","SCALING_FORMAT=MLN","Sort=A","Dates=H","DateFormat=P","Fill=—","Direction=H","UseDPDF=Y")</f>
        <v>#NAME?</v>
      </c>
      <c r="Q68" s="13" t="e" cm="1">
        <f t="array" aca="1" ref="Q68" ca="1">_xll.BDH("DATA IN Equity","IS_DEPR_EXP","FY 2018","FY 2018","Currency=INR","Period=FY","BEST_FPERIOD_OVERRIDE=FY","FILING_STATUS=MR","EQY_CONSOLIDATED=Y","SCALING_FORMAT=MLN","Sort=A","Dates=H","DateFormat=P","Fill=—","Direction=H","UseDPDF=Y")</f>
        <v>#NAME?</v>
      </c>
      <c r="R68" s="13" t="e" cm="1">
        <f t="array" aca="1" ref="R68" ca="1">_xll.BDH("DATA IN Equity","IS_DEPR_EXP","FY 2019","FY 2019","Currency=INR","Period=FY","BEST_FPERIOD_OVERRIDE=FY","FILING_STATUS=MR","EQY_CONSOLIDATED=Y","SCALING_FORMAT=MLN","Sort=A","Dates=H","DateFormat=P","Fill=—","Direction=H","UseDPDF=Y")</f>
        <v>#NAME?</v>
      </c>
      <c r="S68" s="13" t="e" cm="1">
        <f t="array" aca="1" ref="S68" ca="1">_xll.BDH("DATA IN Equity","IS_DEPR_EXP","FY 2020","FY 2020","Currency=INR","Period=FY","BEST_FPERIOD_OVERRIDE=FY","FILING_STATUS=MR","EQY_CONSOLIDATED=Y","SCALING_FORMAT=MLN","Sort=A","Dates=H","DateFormat=P","Fill=—","Direction=H","UseDPDF=Y")</f>
        <v>#NAME?</v>
      </c>
      <c r="T68" s="13" t="e" cm="1">
        <f t="array" aca="1" ref="T68" ca="1">_xll.BDH("DATA IN Equity","IS_DEPR_EXP","FY 2021","FY 2021","Currency=INR","Period=FY","BEST_FPERIOD_OVERRIDE=FY","FILING_STATUS=MR","EQY_CONSOLIDATED=Y","SCALING_FORMAT=MLN","Sort=A","Dates=H","DateFormat=P","Fill=—","Direction=H","UseDPDF=Y")</f>
        <v>#NAME?</v>
      </c>
      <c r="U68" s="13" t="e" cm="1">
        <f t="array" aca="1" ref="U68" ca="1">_xll.BDH("DATA IN Equity","IS_DEPR_EXP","FY 2022","FY 2022","Currency=INR","Period=FY","BEST_FPERIOD_OVERRIDE=FY","FILING_STATUS=MR","EQY_CONSOLIDATED=Y","SCALING_FORMAT=MLN","Sort=A","Dates=H","DateFormat=P","Fill=—","Direction=H","UseDPDF=Y")</f>
        <v>#NAME?</v>
      </c>
      <c r="V68" s="13" t="e" cm="1">
        <f t="array" aca="1" ref="V68" ca="1">_xll.BDH("DATA IN Equity","IS_DEPR_EXP","FY 2023","FY 2023","Currency=INR","Period=FY","BEST_FPERIOD_OVERRIDE=FY","FILING_STATUS=MR","EQY_CONSOLIDATED=Y","SCALING_FORMAT=MLN","Sort=A","Dates=H","DateFormat=P","Fill=—","Direction=H","UseDPDF=Y")</f>
        <v>#NAME?</v>
      </c>
      <c r="W68" s="13" t="e" cm="1">
        <f t="array" aca="1" ref="W68" ca="1">_xll.BDH("DATA IN Equity","IS_DEPR_EXP","FY 2024","FY 2024","Currency=INR","Period=FY","BEST_FPERIOD_OVERRIDE=FY","FILING_STATUS=MR","EQY_CONSOLIDATED=Y","SCALING_FORMAT=MLN","Sort=A","Dates=H","DateFormat=P","Fill=—","Direction=H","UseDPDF=Y")</f>
        <v>#NAME?</v>
      </c>
      <c r="X68" s="13" t="e" cm="1">
        <f t="array" aca="1" ref="X68" ca="1">_xll.BDH("DATA IN Equity","IS_DEPR_EXP","FY 2025","FY 2025","Currency=INR","Period=FY","BEST_FPERIOD_OVERRIDE=FY","FILING_STATUS=MR","EQY_CONSOLIDATED=Y","SCALING_FORMAT=MLN","Sort=A","Dates=H","DateFormat=P","Fill=—","Direction=H","UseDPDF=Y")</f>
        <v>#NAME?</v>
      </c>
      <c r="Y68" s="16"/>
      <c r="Z68" s="13"/>
      <c r="AA68" s="13"/>
    </row>
    <row r="69" spans="1:27" x14ac:dyDescent="0.2">
      <c r="A69" s="10" t="s">
        <v>228</v>
      </c>
      <c r="B69" s="10" t="s">
        <v>229</v>
      </c>
      <c r="C69" s="13" t="e" cm="1">
        <f t="array" aca="1" ref="C69" ca="1">_xll.BDH("DATA IN Equity","BS_CURR_RENTAL_EXPENSE","FY 2004","FY 2004","Currency=INR","Period=FY","BEST_FPERIOD_OVERRIDE=FY","FILING_STATUS=MR","EQY_CONSOLIDATED=Y","SCALING_FORMAT=MLN","Sort=A","Dates=H","DateFormat=P","Fill=—","Direction=H","UseDPDF=Y")</f>
        <v>#NAME?</v>
      </c>
      <c r="D69" s="13" t="e" cm="1">
        <f t="array" aca="1" ref="D69" ca="1">_xll.BDH("DATA IN Equity","BS_CURR_RENTAL_EXPENSE","FY 2005","FY 2005","Currency=INR","Period=FY","BEST_FPERIOD_OVERRIDE=FY","FILING_STATUS=MR","EQY_CONSOLIDATED=Y","SCALING_FORMAT=MLN","Sort=A","Dates=H","DateFormat=P","Fill=—","Direction=H","UseDPDF=Y")</f>
        <v>#NAME?</v>
      </c>
      <c r="E69" s="13" t="e" cm="1">
        <f t="array" aca="1" ref="E69" ca="1">_xll.BDH("DATA IN Equity","BS_CURR_RENTAL_EXPENSE","FY 2006","FY 2006","Currency=INR","Period=FY","BEST_FPERIOD_OVERRIDE=FY","FILING_STATUS=MR","EQY_CONSOLIDATED=Y","SCALING_FORMAT=MLN","Sort=A","Dates=H","DateFormat=P","Fill=—","Direction=H","UseDPDF=Y")</f>
        <v>#NAME?</v>
      </c>
      <c r="F69" s="13" t="e" cm="1">
        <f t="array" aca="1" ref="F69" ca="1">_xll.BDH("DATA IN Equity","BS_CURR_RENTAL_EXPENSE","FY 2007","FY 2007","Currency=INR","Period=FY","BEST_FPERIOD_OVERRIDE=FY","FILING_STATUS=MR","EQY_CONSOLIDATED=Y","SCALING_FORMAT=MLN","Sort=A","Dates=H","DateFormat=P","Fill=—","Direction=H","UseDPDF=Y")</f>
        <v>#NAME?</v>
      </c>
      <c r="G69" s="13" t="e" cm="1">
        <f t="array" aca="1" ref="G69" ca="1">_xll.BDH("DATA IN Equity","BS_CURR_RENTAL_EXPENSE","FY 2008","FY 2008","Currency=INR","Period=FY","BEST_FPERIOD_OVERRIDE=FY","FILING_STATUS=MR","EQY_CONSOLIDATED=Y","SCALING_FORMAT=MLN","Sort=A","Dates=H","DateFormat=P","Fill=—","Direction=H","UseDPDF=Y")</f>
        <v>#NAME?</v>
      </c>
      <c r="H69" s="13" t="e" cm="1">
        <f t="array" aca="1" ref="H69" ca="1">_xll.BDH("DATA IN Equity","BS_CURR_RENTAL_EXPENSE","FY 2009","FY 2009","Currency=INR","Period=FY","BEST_FPERIOD_OVERRIDE=FY","FILING_STATUS=MR","EQY_CONSOLIDATED=Y","SCALING_FORMAT=MLN","Sort=A","Dates=H","DateFormat=P","Fill=—","Direction=H","UseDPDF=Y")</f>
        <v>#NAME?</v>
      </c>
      <c r="I69" s="13" t="e" cm="1">
        <f t="array" aca="1" ref="I69" ca="1">_xll.BDH("DATA IN Equity","BS_CURR_RENTAL_EXPENSE","FY 2010","FY 2010","Currency=INR","Period=FY","BEST_FPERIOD_OVERRIDE=FY","FILING_STATUS=MR","EQY_CONSOLIDATED=Y","SCALING_FORMAT=MLN","Sort=A","Dates=H","DateFormat=P","Fill=—","Direction=H","UseDPDF=Y")</f>
        <v>#NAME?</v>
      </c>
      <c r="J69" s="13" t="e" cm="1">
        <f t="array" aca="1" ref="J69" ca="1">_xll.BDH("DATA IN Equity","BS_CURR_RENTAL_EXPENSE","FY 2011","FY 2011","Currency=INR","Period=FY","BEST_FPERIOD_OVERRIDE=FY","FILING_STATUS=MR","EQY_CONSOLIDATED=Y","SCALING_FORMAT=MLN","Sort=A","Dates=H","DateFormat=P","Fill=—","Direction=H","UseDPDF=Y")</f>
        <v>#NAME?</v>
      </c>
      <c r="K69" s="13" t="e" cm="1">
        <f t="array" aca="1" ref="K69" ca="1">_xll.BDH("DATA IN Equity","BS_CURR_RENTAL_EXPENSE","FY 2012","FY 2012","Currency=INR","Period=FY","BEST_FPERIOD_OVERRIDE=FY","FILING_STATUS=MR","EQY_CONSOLIDATED=Y","SCALING_FORMAT=MLN","Sort=A","Dates=H","DateFormat=P","Fill=—","Direction=H","UseDPDF=Y")</f>
        <v>#NAME?</v>
      </c>
      <c r="L69" s="13" t="e" cm="1">
        <f t="array" aca="1" ref="L69" ca="1">_xll.BDH("DATA IN Equity","BS_CURR_RENTAL_EXPENSE","FY 2013","FY 2013","Currency=INR","Period=FY","BEST_FPERIOD_OVERRIDE=FY","FILING_STATUS=MR","EQY_CONSOLIDATED=Y","SCALING_FORMAT=MLN","Sort=A","Dates=H","DateFormat=P","Fill=—","Direction=H","UseDPDF=Y")</f>
        <v>#NAME?</v>
      </c>
      <c r="M69" s="13" t="e" cm="1">
        <f t="array" aca="1" ref="M69" ca="1">_xll.BDH("DATA IN Equity","BS_CURR_RENTAL_EXPENSE","FY 2014","FY 2014","Currency=INR","Period=FY","BEST_FPERIOD_OVERRIDE=FY","FILING_STATUS=MR","EQY_CONSOLIDATED=Y","SCALING_FORMAT=MLN","Sort=A","Dates=H","DateFormat=P","Fill=—","Direction=H","UseDPDF=Y")</f>
        <v>#NAME?</v>
      </c>
      <c r="N69" s="13" t="e" cm="1">
        <f t="array" aca="1" ref="N69" ca="1">_xll.BDH("DATA IN Equity","BS_CURR_RENTAL_EXPENSE","FY 2015","FY 2015","Currency=INR","Period=FY","BEST_FPERIOD_OVERRIDE=FY","FILING_STATUS=MR","EQY_CONSOLIDATED=Y","SCALING_FORMAT=MLN","Sort=A","Dates=H","DateFormat=P","Fill=—","Direction=H","UseDPDF=Y")</f>
        <v>#NAME?</v>
      </c>
      <c r="O69" s="13" t="e" cm="1">
        <f t="array" aca="1" ref="O69" ca="1">_xll.BDH("DATA IN Equity","BS_CURR_RENTAL_EXPENSE","FY 2016","FY 2016","Currency=INR","Period=FY","BEST_FPERIOD_OVERRIDE=FY","FILING_STATUS=MR","EQY_CONSOLIDATED=Y","SCALING_FORMAT=MLN","Sort=A","Dates=H","DateFormat=P","Fill=—","Direction=H","UseDPDF=Y")</f>
        <v>#NAME?</v>
      </c>
      <c r="P69" s="13" t="e" cm="1">
        <f t="array" aca="1" ref="P69" ca="1">_xll.BDH("DATA IN Equity","BS_CURR_RENTAL_EXPENSE","FY 2017","FY 2017","Currency=INR","Period=FY","BEST_FPERIOD_OVERRIDE=FY","FILING_STATUS=MR","EQY_CONSOLIDATED=Y","SCALING_FORMAT=MLN","Sort=A","Dates=H","DateFormat=P","Fill=—","Direction=H","UseDPDF=Y")</f>
        <v>#NAME?</v>
      </c>
      <c r="Q69" s="13" t="e" cm="1">
        <f t="array" aca="1" ref="Q69" ca="1">_xll.BDH("DATA IN Equity","BS_CURR_RENTAL_EXPENSE","FY 2018","FY 2018","Currency=INR","Period=FY","BEST_FPERIOD_OVERRIDE=FY","FILING_STATUS=MR","EQY_CONSOLIDATED=Y","SCALING_FORMAT=MLN","Sort=A","Dates=H","DateFormat=P","Fill=—","Direction=H","UseDPDF=Y")</f>
        <v>#NAME?</v>
      </c>
      <c r="R69" s="13" t="e" cm="1">
        <f t="array" aca="1" ref="R69" ca="1">_xll.BDH("DATA IN Equity","BS_CURR_RENTAL_EXPENSE","FY 2019","FY 2019","Currency=INR","Period=FY","BEST_FPERIOD_OVERRIDE=FY","FILING_STATUS=MR","EQY_CONSOLIDATED=Y","SCALING_FORMAT=MLN","Sort=A","Dates=H","DateFormat=P","Fill=—","Direction=H","UseDPDF=Y")</f>
        <v>#NAME?</v>
      </c>
      <c r="S69" s="13" t="e" cm="1">
        <f t="array" aca="1" ref="S69" ca="1">_xll.BDH("DATA IN Equity","BS_CURR_RENTAL_EXPENSE","FY 2020","FY 2020","Currency=INR","Period=FY","BEST_FPERIOD_OVERRIDE=FY","FILING_STATUS=MR","EQY_CONSOLIDATED=Y","SCALING_FORMAT=MLN","Sort=A","Dates=H","DateFormat=P","Fill=—","Direction=H","UseDPDF=Y")</f>
        <v>#NAME?</v>
      </c>
      <c r="T69" s="13" t="e" cm="1">
        <f t="array" aca="1" ref="T69" ca="1">_xll.BDH("DATA IN Equity","BS_CURR_RENTAL_EXPENSE","FY 2021","FY 2021","Currency=INR","Period=FY","BEST_FPERIOD_OVERRIDE=FY","FILING_STATUS=MR","EQY_CONSOLIDATED=Y","SCALING_FORMAT=MLN","Sort=A","Dates=H","DateFormat=P","Fill=—","Direction=H","UseDPDF=Y")</f>
        <v>#NAME?</v>
      </c>
      <c r="U69" s="13" t="e" cm="1">
        <f t="array" aca="1" ref="U69" ca="1">_xll.BDH("DATA IN Equity","BS_CURR_RENTAL_EXPENSE","FY 2022","FY 2022","Currency=INR","Period=FY","BEST_FPERIOD_OVERRIDE=FY","FILING_STATUS=MR","EQY_CONSOLIDATED=Y","SCALING_FORMAT=MLN","Sort=A","Dates=H","DateFormat=P","Fill=—","Direction=H","UseDPDF=Y")</f>
        <v>#NAME?</v>
      </c>
      <c r="V69" s="13" t="e" cm="1">
        <f t="array" aca="1" ref="V69" ca="1">_xll.BDH("DATA IN Equity","BS_CURR_RENTAL_EXPENSE","FY 2023","FY 2023","Currency=INR","Period=FY","BEST_FPERIOD_OVERRIDE=FY","FILING_STATUS=MR","EQY_CONSOLIDATED=Y","SCALING_FORMAT=MLN","Sort=A","Dates=H","DateFormat=P","Fill=—","Direction=H","UseDPDF=Y")</f>
        <v>#NAME?</v>
      </c>
      <c r="W69" s="13" t="e" cm="1">
        <f t="array" aca="1" ref="W69" ca="1">_xll.BDH("DATA IN Equity","BS_CURR_RENTAL_EXPENSE","FY 2024","FY 2024","Currency=INR","Period=FY","BEST_FPERIOD_OVERRIDE=FY","FILING_STATUS=MR","EQY_CONSOLIDATED=Y","SCALING_FORMAT=MLN","Sort=A","Dates=H","DateFormat=P","Fill=—","Direction=H","UseDPDF=Y")</f>
        <v>#NAME?</v>
      </c>
      <c r="X69" s="13" t="e" cm="1">
        <f t="array" aca="1" ref="X69" ca="1">_xll.BDH("DATA IN Equity","BS_CURR_RENTAL_EXPENSE","FY 2025","FY 2025","Currency=INR","Period=FY","BEST_FPERIOD_OVERRIDE=FY","FILING_STATUS=MR","EQY_CONSOLIDATED=Y","SCALING_FORMAT=MLN","Sort=A","Dates=H","DateFormat=P","Fill=—","Direction=H","UseDPDF=Y")</f>
        <v>#NAME?</v>
      </c>
      <c r="Y69" s="16"/>
      <c r="Z69" s="13"/>
      <c r="AA69" s="13"/>
    </row>
    <row r="70" spans="1:27" x14ac:dyDescent="0.2">
      <c r="A70" s="7" t="s">
        <v>112</v>
      </c>
      <c r="B70" s="7"/>
      <c r="C70" s="7" t="s">
        <v>3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34"/>
  <sheetViews>
    <sheetView workbookViewId="0">
      <selection activeCell="A2" sqref="A2:X234"/>
    </sheetView>
  </sheetViews>
  <sheetFormatPr baseColWidth="10" defaultColWidth="8.83203125" defaultRowHeight="15" x14ac:dyDescent="0.2"/>
  <cols>
    <col min="1" max="1" width="35.1640625" customWidth="1"/>
    <col min="2" max="2" width="0" hidden="1" customWidth="1"/>
    <col min="3" max="24" width="11.83203125" customWidth="1"/>
  </cols>
  <sheetData>
    <row r="1" spans="1:2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" x14ac:dyDescent="0.2">
      <c r="A2" s="8" t="s">
        <v>230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">
      <c r="A4" s="3" t="s">
        <v>6</v>
      </c>
      <c r="B4" s="3"/>
      <c r="C4" s="4" t="s">
        <v>114</v>
      </c>
      <c r="D4" s="4" t="s">
        <v>4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</row>
    <row r="5" spans="1:24" x14ac:dyDescent="0.2">
      <c r="A5" s="9" t="s">
        <v>30</v>
      </c>
      <c r="B5" s="9"/>
      <c r="C5" s="5" t="s">
        <v>116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36</v>
      </c>
      <c r="J5" s="5" t="s">
        <v>37</v>
      </c>
      <c r="K5" s="5" t="s">
        <v>38</v>
      </c>
      <c r="L5" s="5" t="s">
        <v>39</v>
      </c>
      <c r="M5" s="5" t="s">
        <v>40</v>
      </c>
      <c r="N5" s="5" t="s">
        <v>41</v>
      </c>
      <c r="O5" s="5" t="s">
        <v>42</v>
      </c>
      <c r="P5" s="5" t="s">
        <v>43</v>
      </c>
      <c r="Q5" s="5" t="s">
        <v>44</v>
      </c>
      <c r="R5" s="5" t="s">
        <v>45</v>
      </c>
      <c r="S5" s="5" t="s">
        <v>46</v>
      </c>
      <c r="T5" s="5" t="s">
        <v>47</v>
      </c>
      <c r="U5" s="5" t="s">
        <v>48</v>
      </c>
      <c r="V5" s="5" t="s">
        <v>49</v>
      </c>
      <c r="W5" s="5" t="s">
        <v>50</v>
      </c>
      <c r="X5" s="5" t="s">
        <v>51</v>
      </c>
    </row>
    <row r="6" spans="1:24" x14ac:dyDescent="0.2">
      <c r="A6" s="6" t="s">
        <v>231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4" x14ac:dyDescent="0.2">
      <c r="A7" s="10" t="s">
        <v>232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 x14ac:dyDescent="0.2">
      <c r="A8" s="10" t="s">
        <v>233</v>
      </c>
      <c r="B8" s="10" t="s">
        <v>234</v>
      </c>
      <c r="C8" s="13" t="s">
        <v>658</v>
      </c>
      <c r="D8" s="13" t="s">
        <v>658</v>
      </c>
      <c r="E8" s="13" t="s">
        <v>658</v>
      </c>
      <c r="F8" s="13" t="s">
        <v>658</v>
      </c>
      <c r="G8" s="13" t="s">
        <v>658</v>
      </c>
      <c r="H8" s="13" t="s">
        <v>658</v>
      </c>
      <c r="I8" s="13" t="s">
        <v>658</v>
      </c>
      <c r="J8" s="13" t="s">
        <v>658</v>
      </c>
      <c r="K8" s="13" t="s">
        <v>658</v>
      </c>
      <c r="L8" s="13" t="s">
        <v>658</v>
      </c>
      <c r="M8" s="13" t="s">
        <v>658</v>
      </c>
      <c r="N8" s="13" t="s">
        <v>658</v>
      </c>
      <c r="O8" s="13">
        <v>771.76</v>
      </c>
      <c r="P8" s="13">
        <v>0</v>
      </c>
      <c r="Q8" s="13" t="s">
        <v>658</v>
      </c>
      <c r="R8" s="13" t="s">
        <v>658</v>
      </c>
      <c r="S8" s="13" t="s">
        <v>658</v>
      </c>
      <c r="T8" s="13" t="s">
        <v>658</v>
      </c>
      <c r="U8" s="13" t="s">
        <v>658</v>
      </c>
      <c r="V8" s="13" t="s">
        <v>658</v>
      </c>
      <c r="W8" s="13" t="s">
        <v>658</v>
      </c>
      <c r="X8" s="13" t="s">
        <v>658</v>
      </c>
    </row>
    <row r="9" spans="1:24" x14ac:dyDescent="0.2">
      <c r="A9" s="10" t="s">
        <v>235</v>
      </c>
      <c r="B9" s="10" t="s">
        <v>236</v>
      </c>
      <c r="C9" s="13" t="s">
        <v>658</v>
      </c>
      <c r="D9" s="13" t="s">
        <v>658</v>
      </c>
      <c r="E9" s="13" t="s">
        <v>658</v>
      </c>
      <c r="F9" s="13" t="s">
        <v>658</v>
      </c>
      <c r="G9" s="13" t="s">
        <v>658</v>
      </c>
      <c r="H9" s="13" t="s">
        <v>658</v>
      </c>
      <c r="I9" s="13" t="s">
        <v>658</v>
      </c>
      <c r="J9" s="13" t="s">
        <v>658</v>
      </c>
      <c r="K9" s="13">
        <v>53.957500000000003</v>
      </c>
      <c r="L9" s="13">
        <v>151.78120000000001</v>
      </c>
      <c r="M9" s="13">
        <v>344.7817</v>
      </c>
      <c r="N9" s="13">
        <v>369.84179999999998</v>
      </c>
      <c r="O9" s="13">
        <v>473.1</v>
      </c>
      <c r="P9" s="13">
        <v>259.57</v>
      </c>
      <c r="Q9" s="13">
        <v>363.64</v>
      </c>
      <c r="R9" s="13">
        <v>393.67</v>
      </c>
      <c r="S9" s="13">
        <v>220.15</v>
      </c>
      <c r="T9" s="13">
        <v>-6.94</v>
      </c>
      <c r="U9" s="13">
        <v>-35.86</v>
      </c>
      <c r="V9" s="13">
        <v>-72.099999999999994</v>
      </c>
      <c r="W9" s="13">
        <v>-82.7</v>
      </c>
      <c r="X9" s="13">
        <v>-81.8</v>
      </c>
    </row>
    <row r="10" spans="1:24" x14ac:dyDescent="0.2">
      <c r="A10" s="10" t="s">
        <v>237</v>
      </c>
      <c r="B10" s="10" t="s">
        <v>238</v>
      </c>
      <c r="C10" s="13">
        <v>128.7653</v>
      </c>
      <c r="D10" s="13" t="s">
        <v>658</v>
      </c>
      <c r="E10" s="13">
        <v>338.9135</v>
      </c>
      <c r="F10" s="13">
        <v>525.11180000000002</v>
      </c>
      <c r="G10" s="13">
        <v>-6.6642999999999999</v>
      </c>
      <c r="H10" s="13">
        <v>9.6819000000000006</v>
      </c>
      <c r="I10" s="13">
        <v>-9.9459999999999997</v>
      </c>
      <c r="J10" s="13" t="s">
        <v>658</v>
      </c>
      <c r="K10" s="13">
        <v>2.6303999999999998</v>
      </c>
      <c r="L10" s="13">
        <v>4.3219000000000003</v>
      </c>
      <c r="M10" s="13" t="s">
        <v>658</v>
      </c>
      <c r="N10" s="13" t="s">
        <v>658</v>
      </c>
      <c r="O10" s="13" t="s">
        <v>658</v>
      </c>
      <c r="P10" s="13">
        <v>5011.8900000000003</v>
      </c>
      <c r="Q10" s="13">
        <v>5169.05</v>
      </c>
      <c r="R10" s="13">
        <v>6104.81</v>
      </c>
      <c r="S10" s="13">
        <v>6564.18</v>
      </c>
      <c r="T10" s="13">
        <v>6864.64</v>
      </c>
      <c r="U10" s="13">
        <v>8275.33</v>
      </c>
      <c r="V10" s="13">
        <v>10184.5</v>
      </c>
      <c r="W10" s="13">
        <v>11994.9</v>
      </c>
      <c r="X10" s="13">
        <v>13350.4</v>
      </c>
    </row>
    <row r="11" spans="1:24" x14ac:dyDescent="0.2">
      <c r="A11" s="10" t="s">
        <v>239</v>
      </c>
      <c r="B11" s="10" t="s">
        <v>240</v>
      </c>
      <c r="C11" s="13">
        <v>657.88990000000001</v>
      </c>
      <c r="D11" s="13">
        <v>1660.8653999999999</v>
      </c>
      <c r="E11" s="13">
        <v>1752.6684</v>
      </c>
      <c r="F11" s="13">
        <v>1820.9494</v>
      </c>
      <c r="G11" s="13">
        <v>1874.1516999999999</v>
      </c>
      <c r="H11" s="13">
        <v>2479.1322</v>
      </c>
      <c r="I11" s="13">
        <v>2390.529</v>
      </c>
      <c r="J11" s="13">
        <v>2524.2955000000002</v>
      </c>
      <c r="K11" s="13" t="s">
        <v>658</v>
      </c>
      <c r="L11" s="13" t="s">
        <v>658</v>
      </c>
      <c r="M11" s="13" t="s">
        <v>658</v>
      </c>
      <c r="N11" s="13" t="s">
        <v>658</v>
      </c>
      <c r="O11" s="13" t="s">
        <v>658</v>
      </c>
      <c r="P11" s="13">
        <v>5566.21</v>
      </c>
      <c r="Q11" s="13">
        <v>5827.44</v>
      </c>
      <c r="R11" s="13">
        <v>6793.23</v>
      </c>
      <c r="S11" s="13">
        <v>7079.08</v>
      </c>
      <c r="T11" s="13">
        <v>7152.45</v>
      </c>
      <c r="U11" s="13">
        <v>8534.2199999999993</v>
      </c>
      <c r="V11" s="13">
        <v>10407.200000000001</v>
      </c>
      <c r="W11" s="13">
        <v>12207.3</v>
      </c>
      <c r="X11" s="13">
        <v>13564.1</v>
      </c>
    </row>
    <row r="12" spans="1:24" x14ac:dyDescent="0.2">
      <c r="A12" s="10" t="s">
        <v>241</v>
      </c>
      <c r="B12" s="10" t="s">
        <v>242</v>
      </c>
      <c r="C12" s="13">
        <v>240</v>
      </c>
      <c r="D12" s="13">
        <v>240</v>
      </c>
      <c r="E12" s="13">
        <v>240</v>
      </c>
      <c r="F12" s="13">
        <v>240</v>
      </c>
      <c r="G12" s="13">
        <v>240</v>
      </c>
      <c r="H12" s="13">
        <v>500</v>
      </c>
      <c r="I12" s="13">
        <v>500</v>
      </c>
      <c r="J12" s="13">
        <v>500</v>
      </c>
      <c r="K12" s="13">
        <v>500</v>
      </c>
      <c r="L12" s="13">
        <v>500</v>
      </c>
      <c r="M12" s="13">
        <v>500</v>
      </c>
      <c r="N12" s="13">
        <v>500</v>
      </c>
      <c r="O12" s="13">
        <v>520</v>
      </c>
      <c r="P12" s="13" t="s">
        <v>658</v>
      </c>
      <c r="Q12" s="13" t="s">
        <v>658</v>
      </c>
      <c r="R12" s="13" t="s">
        <v>658</v>
      </c>
      <c r="S12" s="13" t="s">
        <v>658</v>
      </c>
      <c r="T12" s="13" t="s">
        <v>658</v>
      </c>
      <c r="U12" s="13" t="s">
        <v>658</v>
      </c>
      <c r="V12" s="13" t="s">
        <v>658</v>
      </c>
      <c r="W12" s="13" t="s">
        <v>658</v>
      </c>
      <c r="X12" s="13" t="s">
        <v>658</v>
      </c>
    </row>
    <row r="13" spans="1:24" x14ac:dyDescent="0.2">
      <c r="A13" s="10" t="s">
        <v>243</v>
      </c>
      <c r="B13" s="10" t="s">
        <v>244</v>
      </c>
      <c r="C13" s="13">
        <v>497.52420000000001</v>
      </c>
      <c r="D13" s="13">
        <v>1457.8668</v>
      </c>
      <c r="E13" s="13">
        <v>1549.5842</v>
      </c>
      <c r="F13" s="13">
        <v>1617.3652</v>
      </c>
      <c r="G13" s="13">
        <v>1670.5676000000001</v>
      </c>
      <c r="H13" s="13">
        <v>1974.5605</v>
      </c>
      <c r="I13" s="13">
        <v>2092.2822999999999</v>
      </c>
      <c r="J13" s="13">
        <v>2209.5488999999998</v>
      </c>
      <c r="K13" s="13">
        <v>2419.3901000000001</v>
      </c>
      <c r="L13" s="13">
        <v>2683.8382999999999</v>
      </c>
      <c r="M13" s="13">
        <v>3067.2631999999999</v>
      </c>
      <c r="N13" s="13">
        <v>3521.4486999999999</v>
      </c>
      <c r="O13" s="13">
        <v>3904.99</v>
      </c>
      <c r="P13" s="13" t="s">
        <v>658</v>
      </c>
      <c r="Q13" s="13" t="s">
        <v>658</v>
      </c>
      <c r="R13" s="13" t="s">
        <v>658</v>
      </c>
      <c r="S13" s="13" t="s">
        <v>658</v>
      </c>
      <c r="T13" s="13" t="s">
        <v>658</v>
      </c>
      <c r="U13" s="13" t="s">
        <v>658</v>
      </c>
      <c r="V13" s="13" t="s">
        <v>658</v>
      </c>
      <c r="W13" s="13" t="s">
        <v>658</v>
      </c>
      <c r="X13" s="13" t="s">
        <v>658</v>
      </c>
    </row>
    <row r="14" spans="1:24" x14ac:dyDescent="0.2">
      <c r="A14" s="10" t="s">
        <v>245</v>
      </c>
      <c r="B14" s="10" t="s">
        <v>246</v>
      </c>
      <c r="C14" s="13">
        <v>150</v>
      </c>
      <c r="D14" s="13">
        <v>150</v>
      </c>
      <c r="E14" s="13">
        <v>150</v>
      </c>
      <c r="F14" s="13">
        <v>150</v>
      </c>
      <c r="G14" s="13">
        <v>150</v>
      </c>
      <c r="H14" s="13">
        <v>300</v>
      </c>
      <c r="I14" s="13">
        <v>300</v>
      </c>
      <c r="J14" s="13">
        <v>300</v>
      </c>
      <c r="K14" s="13">
        <v>300</v>
      </c>
      <c r="L14" s="13">
        <v>300</v>
      </c>
      <c r="M14" s="13">
        <v>300</v>
      </c>
      <c r="N14" s="13">
        <v>300</v>
      </c>
      <c r="O14" s="13">
        <v>455.5</v>
      </c>
      <c r="P14" s="13" t="s">
        <v>658</v>
      </c>
      <c r="Q14" s="13" t="s">
        <v>658</v>
      </c>
      <c r="R14" s="13" t="s">
        <v>658</v>
      </c>
      <c r="S14" s="13" t="s">
        <v>658</v>
      </c>
      <c r="T14" s="13" t="s">
        <v>658</v>
      </c>
      <c r="U14" s="13" t="s">
        <v>658</v>
      </c>
      <c r="V14" s="13" t="s">
        <v>658</v>
      </c>
      <c r="W14" s="13" t="s">
        <v>658</v>
      </c>
      <c r="X14" s="13" t="s">
        <v>658</v>
      </c>
    </row>
    <row r="15" spans="1:24" x14ac:dyDescent="0.2">
      <c r="A15" s="10" t="s">
        <v>247</v>
      </c>
      <c r="B15" s="10" t="s">
        <v>248</v>
      </c>
      <c r="C15" s="13">
        <v>160.3657</v>
      </c>
      <c r="D15" s="13">
        <v>202.99870000000001</v>
      </c>
      <c r="E15" s="13">
        <v>203.08420000000001</v>
      </c>
      <c r="F15" s="13">
        <v>203.58420000000001</v>
      </c>
      <c r="G15" s="13">
        <v>203.58420000000001</v>
      </c>
      <c r="H15" s="13">
        <v>504.57170000000002</v>
      </c>
      <c r="I15" s="13">
        <v>298.24669999999998</v>
      </c>
      <c r="J15" s="13">
        <v>314.74669999999998</v>
      </c>
      <c r="K15" s="13">
        <v>314.74669999999998</v>
      </c>
      <c r="L15" s="13">
        <v>314.74669999999998</v>
      </c>
      <c r="M15" s="13">
        <v>294.74669999999998</v>
      </c>
      <c r="N15" s="13">
        <v>294.74669999999998</v>
      </c>
      <c r="O15" s="13">
        <v>294.75</v>
      </c>
      <c r="P15" s="13" t="s">
        <v>658</v>
      </c>
      <c r="Q15" s="13" t="s">
        <v>658</v>
      </c>
      <c r="R15" s="13" t="s">
        <v>658</v>
      </c>
      <c r="S15" s="13" t="s">
        <v>658</v>
      </c>
      <c r="T15" s="13" t="s">
        <v>658</v>
      </c>
      <c r="U15" s="13" t="s">
        <v>658</v>
      </c>
      <c r="V15" s="13" t="s">
        <v>658</v>
      </c>
      <c r="W15" s="13" t="s">
        <v>658</v>
      </c>
      <c r="X15" s="13" t="s">
        <v>658</v>
      </c>
    </row>
    <row r="16" spans="1:24" x14ac:dyDescent="0.2">
      <c r="A16" s="10" t="s">
        <v>249</v>
      </c>
      <c r="B16" s="10" t="s">
        <v>250</v>
      </c>
      <c r="C16" s="13" t="s">
        <v>658</v>
      </c>
      <c r="D16" s="13" t="s">
        <v>658</v>
      </c>
      <c r="E16" s="13" t="s">
        <v>658</v>
      </c>
      <c r="F16" s="13" t="s">
        <v>658</v>
      </c>
      <c r="G16" s="13" t="s">
        <v>658</v>
      </c>
      <c r="H16" s="13" t="s">
        <v>658</v>
      </c>
      <c r="I16" s="13" t="s">
        <v>658</v>
      </c>
      <c r="J16" s="13" t="s">
        <v>658</v>
      </c>
      <c r="K16" s="13">
        <v>2734.1368000000002</v>
      </c>
      <c r="L16" s="13">
        <v>2998.585</v>
      </c>
      <c r="M16" s="13">
        <v>3362.0099</v>
      </c>
      <c r="N16" s="13">
        <v>3816.1954000000001</v>
      </c>
      <c r="O16" s="13">
        <v>4199.74</v>
      </c>
      <c r="P16" s="13">
        <v>5306.64</v>
      </c>
      <c r="Q16" s="13">
        <v>5463.8</v>
      </c>
      <c r="R16" s="13">
        <v>6399.56</v>
      </c>
      <c r="S16" s="13">
        <v>6858.93</v>
      </c>
      <c r="T16" s="13">
        <v>7159.39</v>
      </c>
      <c r="U16" s="13">
        <v>8570.08</v>
      </c>
      <c r="V16" s="13">
        <v>10479.299999999999</v>
      </c>
      <c r="W16" s="13">
        <v>12290</v>
      </c>
      <c r="X16" s="13">
        <v>13645.9</v>
      </c>
    </row>
    <row r="17" spans="1:24" x14ac:dyDescent="0.2">
      <c r="A17" s="10" t="s">
        <v>251</v>
      </c>
      <c r="B17" s="10" t="s">
        <v>252</v>
      </c>
      <c r="C17" s="13" t="s">
        <v>658</v>
      </c>
      <c r="D17" s="13" t="s">
        <v>658</v>
      </c>
      <c r="E17" s="13" t="s">
        <v>658</v>
      </c>
      <c r="F17" s="13" t="s">
        <v>658</v>
      </c>
      <c r="G17" s="13" t="s">
        <v>658</v>
      </c>
      <c r="H17" s="13" t="s">
        <v>658</v>
      </c>
      <c r="I17" s="13" t="s">
        <v>658</v>
      </c>
      <c r="J17" s="13" t="s">
        <v>658</v>
      </c>
      <c r="K17" s="13" t="s">
        <v>658</v>
      </c>
      <c r="L17" s="13" t="s">
        <v>658</v>
      </c>
      <c r="M17" s="13">
        <v>791.75810000000001</v>
      </c>
      <c r="N17" s="13">
        <v>771.75810000000001</v>
      </c>
      <c r="O17" s="13" t="s">
        <v>658</v>
      </c>
      <c r="P17" s="13" t="s">
        <v>658</v>
      </c>
      <c r="Q17" s="13" t="s">
        <v>658</v>
      </c>
      <c r="R17" s="13" t="s">
        <v>658</v>
      </c>
      <c r="S17" s="13" t="s">
        <v>658</v>
      </c>
      <c r="T17" s="13" t="s">
        <v>658</v>
      </c>
      <c r="U17" s="13" t="s">
        <v>658</v>
      </c>
      <c r="V17" s="13" t="s">
        <v>658</v>
      </c>
      <c r="W17" s="13">
        <v>0.1</v>
      </c>
      <c r="X17" s="13" t="s">
        <v>658</v>
      </c>
    </row>
    <row r="18" spans="1:24" x14ac:dyDescent="0.2">
      <c r="A18" s="10" t="s">
        <v>253</v>
      </c>
      <c r="B18" s="10" t="s">
        <v>254</v>
      </c>
      <c r="C18" s="13">
        <v>160.3657</v>
      </c>
      <c r="D18" s="13">
        <v>202.99870000000001</v>
      </c>
      <c r="E18" s="13">
        <v>203.08420000000001</v>
      </c>
      <c r="F18" s="13">
        <v>203.58420000000001</v>
      </c>
      <c r="G18" s="13">
        <v>203.58420000000001</v>
      </c>
      <c r="H18" s="13" t="s">
        <v>658</v>
      </c>
      <c r="I18" s="13">
        <v>294.74669999999998</v>
      </c>
      <c r="J18" s="13">
        <v>294.74669999999998</v>
      </c>
      <c r="K18" s="13">
        <v>294.74669999999998</v>
      </c>
      <c r="L18" s="13">
        <v>294.74669999999998</v>
      </c>
      <c r="M18" s="13">
        <v>294.74669999999998</v>
      </c>
      <c r="N18" s="13">
        <v>294.74669999999998</v>
      </c>
      <c r="O18" s="13" t="s">
        <v>658</v>
      </c>
      <c r="P18" s="13">
        <v>294.75</v>
      </c>
      <c r="Q18" s="13">
        <v>294.75</v>
      </c>
      <c r="R18" s="13">
        <v>294.75</v>
      </c>
      <c r="S18" s="13">
        <v>294.75</v>
      </c>
      <c r="T18" s="13">
        <v>294.75</v>
      </c>
      <c r="U18" s="13">
        <v>294.75</v>
      </c>
      <c r="V18" s="13">
        <v>294.8</v>
      </c>
      <c r="W18" s="13">
        <v>295</v>
      </c>
      <c r="X18" s="13">
        <v>295.5</v>
      </c>
    </row>
    <row r="19" spans="1:24" x14ac:dyDescent="0.2">
      <c r="A19" s="6" t="s">
        <v>255</v>
      </c>
      <c r="B19" s="6" t="s">
        <v>256</v>
      </c>
      <c r="C19" s="19" t="s">
        <v>658</v>
      </c>
      <c r="D19" s="19">
        <v>1679.5708</v>
      </c>
      <c r="E19" s="19">
        <v>1772.567</v>
      </c>
      <c r="F19" s="19" t="s">
        <v>658</v>
      </c>
      <c r="G19" s="19">
        <v>1907.2021999999999</v>
      </c>
      <c r="H19" s="19">
        <v>2586.6167999999998</v>
      </c>
      <c r="I19" s="19" t="s">
        <v>658</v>
      </c>
      <c r="J19" s="19" t="s">
        <v>658</v>
      </c>
      <c r="K19" s="19">
        <v>3925.0416</v>
      </c>
      <c r="L19" s="19">
        <v>4374.8941999999997</v>
      </c>
      <c r="M19" s="19">
        <v>6507.9997999999996</v>
      </c>
      <c r="N19" s="19">
        <v>6761.8143</v>
      </c>
      <c r="O19" s="19">
        <v>7376.8</v>
      </c>
      <c r="P19" s="19">
        <v>7147.23</v>
      </c>
      <c r="Q19" s="19">
        <v>7625.05</v>
      </c>
      <c r="R19" s="19">
        <v>8672.2000000000007</v>
      </c>
      <c r="S19" s="19">
        <v>10100.34</v>
      </c>
      <c r="T19" s="19">
        <v>9080.66</v>
      </c>
      <c r="U19" s="19">
        <v>11097.41</v>
      </c>
      <c r="V19" s="19">
        <v>12813.4</v>
      </c>
      <c r="W19" s="19">
        <v>14632.6</v>
      </c>
      <c r="X19" s="19">
        <v>20564</v>
      </c>
    </row>
    <row r="20" spans="1:24" x14ac:dyDescent="0.2">
      <c r="A20" s="10" t="s">
        <v>257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spans="1:24" x14ac:dyDescent="0.2">
      <c r="A21" s="10" t="s">
        <v>258</v>
      </c>
      <c r="B21" s="10" t="s">
        <v>259</v>
      </c>
      <c r="C21" s="13" t="s">
        <v>658</v>
      </c>
      <c r="D21" s="13" t="s">
        <v>658</v>
      </c>
      <c r="E21" s="13" t="s">
        <v>658</v>
      </c>
      <c r="F21" s="13" t="s">
        <v>658</v>
      </c>
      <c r="G21" s="13" t="s">
        <v>658</v>
      </c>
      <c r="H21" s="13" t="s">
        <v>658</v>
      </c>
      <c r="I21" s="13" t="s">
        <v>658</v>
      </c>
      <c r="J21" s="13">
        <v>70.2624</v>
      </c>
      <c r="K21" s="13">
        <v>111.7555</v>
      </c>
      <c r="L21" s="13">
        <v>110.8668</v>
      </c>
      <c r="M21" s="13">
        <v>709.03949999999998</v>
      </c>
      <c r="N21" s="13">
        <v>576.68359999999996</v>
      </c>
      <c r="O21" s="13">
        <v>569.82000000000005</v>
      </c>
      <c r="P21" s="13">
        <v>230.59</v>
      </c>
      <c r="Q21" s="13">
        <v>176.48</v>
      </c>
      <c r="R21" s="13">
        <v>237.89</v>
      </c>
      <c r="S21" s="13">
        <v>440.18</v>
      </c>
      <c r="T21" s="13">
        <v>382.89</v>
      </c>
      <c r="U21" s="13">
        <v>403.44</v>
      </c>
      <c r="V21" s="13">
        <v>545.9</v>
      </c>
      <c r="W21" s="13">
        <v>495.9</v>
      </c>
      <c r="X21" s="13">
        <v>4108.8999999999996</v>
      </c>
    </row>
    <row r="22" spans="1:24" x14ac:dyDescent="0.2">
      <c r="A22" s="10" t="s">
        <v>260</v>
      </c>
      <c r="B22" s="10" t="s">
        <v>261</v>
      </c>
      <c r="C22" s="13">
        <v>91.9221</v>
      </c>
      <c r="D22" s="13" t="s">
        <v>658</v>
      </c>
      <c r="E22" s="13" t="s">
        <v>658</v>
      </c>
      <c r="F22" s="13" t="s">
        <v>658</v>
      </c>
      <c r="G22" s="13" t="s">
        <v>658</v>
      </c>
      <c r="H22" s="13">
        <v>90.927599999999998</v>
      </c>
      <c r="I22" s="13">
        <v>39.161099999999998</v>
      </c>
      <c r="J22" s="13" t="s">
        <v>658</v>
      </c>
      <c r="K22" s="13" t="s">
        <v>658</v>
      </c>
      <c r="L22" s="13" t="s">
        <v>658</v>
      </c>
      <c r="M22" s="13" t="s">
        <v>658</v>
      </c>
      <c r="N22" s="13" t="s">
        <v>658</v>
      </c>
      <c r="O22" s="13">
        <v>346.45</v>
      </c>
      <c r="P22" s="13">
        <v>80.41</v>
      </c>
      <c r="Q22" s="13" t="s">
        <v>658</v>
      </c>
      <c r="R22" s="13" t="s">
        <v>658</v>
      </c>
      <c r="S22" s="13" t="s">
        <v>658</v>
      </c>
      <c r="T22" s="13" t="s">
        <v>658</v>
      </c>
      <c r="U22" s="13" t="s">
        <v>658</v>
      </c>
      <c r="V22" s="13" t="s">
        <v>658</v>
      </c>
      <c r="W22" s="13" t="s">
        <v>658</v>
      </c>
      <c r="X22" s="13">
        <v>1366.1</v>
      </c>
    </row>
    <row r="23" spans="1:24" x14ac:dyDescent="0.2">
      <c r="A23" s="10" t="s">
        <v>262</v>
      </c>
      <c r="B23" s="10" t="s">
        <v>263</v>
      </c>
      <c r="C23" s="13">
        <v>20.245799999999999</v>
      </c>
      <c r="D23" s="13">
        <v>18.705300000000001</v>
      </c>
      <c r="E23" s="13">
        <v>19.898599999999998</v>
      </c>
      <c r="F23" s="13">
        <v>24.457799999999999</v>
      </c>
      <c r="G23" s="13">
        <v>33.050400000000003</v>
      </c>
      <c r="H23" s="13">
        <v>16.556899999999999</v>
      </c>
      <c r="I23" s="13">
        <v>14.3645</v>
      </c>
      <c r="J23" s="13">
        <v>11.293900000000001</v>
      </c>
      <c r="K23" s="13">
        <v>33.415100000000002</v>
      </c>
      <c r="L23" s="13">
        <v>44.314599999999999</v>
      </c>
      <c r="M23" s="13">
        <v>81.845500000000001</v>
      </c>
      <c r="N23" s="13">
        <v>74.469899999999996</v>
      </c>
      <c r="O23" s="13">
        <v>108.13</v>
      </c>
      <c r="P23" s="13" t="s">
        <v>658</v>
      </c>
      <c r="Q23" s="13" t="s">
        <v>658</v>
      </c>
      <c r="R23" s="13" t="s">
        <v>658</v>
      </c>
      <c r="S23" s="13" t="s">
        <v>658</v>
      </c>
      <c r="T23" s="13" t="s">
        <v>658</v>
      </c>
      <c r="U23" s="13" t="s">
        <v>658</v>
      </c>
      <c r="V23" s="13" t="s">
        <v>658</v>
      </c>
      <c r="W23" s="13" t="s">
        <v>658</v>
      </c>
      <c r="X23" s="13" t="s">
        <v>658</v>
      </c>
    </row>
    <row r="24" spans="1:24" x14ac:dyDescent="0.2">
      <c r="A24" s="10" t="s">
        <v>264</v>
      </c>
      <c r="B24" s="10" t="s">
        <v>265</v>
      </c>
      <c r="C24" s="13" t="s">
        <v>658</v>
      </c>
      <c r="D24" s="13" t="s">
        <v>658</v>
      </c>
      <c r="E24" s="13" t="s">
        <v>658</v>
      </c>
      <c r="F24" s="13" t="s">
        <v>658</v>
      </c>
      <c r="G24" s="13" t="s">
        <v>658</v>
      </c>
      <c r="H24" s="13" t="s">
        <v>658</v>
      </c>
      <c r="I24" s="13" t="s">
        <v>658</v>
      </c>
      <c r="J24" s="13">
        <v>0.47499999999999998</v>
      </c>
      <c r="K24" s="13">
        <v>16.904199999999999</v>
      </c>
      <c r="L24" s="13">
        <v>1.7317</v>
      </c>
      <c r="M24" s="13">
        <v>6.4652000000000003</v>
      </c>
      <c r="N24" s="13">
        <v>0.47389999999999999</v>
      </c>
      <c r="O24" s="13">
        <v>0.34</v>
      </c>
      <c r="P24" s="13">
        <v>0.64</v>
      </c>
      <c r="Q24" s="13" t="s">
        <v>658</v>
      </c>
      <c r="R24" s="13" t="s">
        <v>658</v>
      </c>
      <c r="S24" s="13" t="s">
        <v>658</v>
      </c>
      <c r="T24" s="13" t="s">
        <v>658</v>
      </c>
      <c r="U24" s="13">
        <v>50</v>
      </c>
      <c r="V24" s="13">
        <v>50</v>
      </c>
      <c r="W24" s="13">
        <v>0</v>
      </c>
      <c r="X24" s="13" t="s">
        <v>658</v>
      </c>
    </row>
    <row r="25" spans="1:24" x14ac:dyDescent="0.2">
      <c r="A25" s="10" t="s">
        <v>266</v>
      </c>
      <c r="B25" s="10" t="s">
        <v>267</v>
      </c>
      <c r="C25" s="13" t="s">
        <v>658</v>
      </c>
      <c r="D25" s="13" t="s">
        <v>658</v>
      </c>
      <c r="E25" s="13" t="s">
        <v>658</v>
      </c>
      <c r="F25" s="13" t="s">
        <v>658</v>
      </c>
      <c r="G25" s="13" t="s">
        <v>658</v>
      </c>
      <c r="H25" s="13" t="s">
        <v>658</v>
      </c>
      <c r="I25" s="13" t="s">
        <v>658</v>
      </c>
      <c r="J25" s="13" t="s">
        <v>658</v>
      </c>
      <c r="K25" s="13" t="s">
        <v>658</v>
      </c>
      <c r="L25" s="13" t="s">
        <v>658</v>
      </c>
      <c r="M25" s="13" t="s">
        <v>658</v>
      </c>
      <c r="N25" s="13" t="s">
        <v>658</v>
      </c>
      <c r="O25" s="13">
        <v>1E-4</v>
      </c>
      <c r="P25" s="13">
        <v>1.84</v>
      </c>
      <c r="Q25" s="13" t="s">
        <v>658</v>
      </c>
      <c r="R25" s="13" t="s">
        <v>658</v>
      </c>
      <c r="S25" s="13" t="s">
        <v>658</v>
      </c>
      <c r="T25" s="13" t="s">
        <v>658</v>
      </c>
      <c r="U25" s="13" t="s">
        <v>658</v>
      </c>
      <c r="V25" s="13" t="s">
        <v>658</v>
      </c>
      <c r="W25" s="13" t="s">
        <v>658</v>
      </c>
      <c r="X25" s="13" t="s">
        <v>658</v>
      </c>
    </row>
    <row r="26" spans="1:24" x14ac:dyDescent="0.2">
      <c r="A26" s="10" t="s">
        <v>268</v>
      </c>
      <c r="B26" s="10" t="s">
        <v>269</v>
      </c>
      <c r="C26" s="13" t="s">
        <v>658</v>
      </c>
      <c r="D26" s="13" t="s">
        <v>658</v>
      </c>
      <c r="E26" s="13" t="s">
        <v>658</v>
      </c>
      <c r="F26" s="13" t="s">
        <v>658</v>
      </c>
      <c r="G26" s="13" t="s">
        <v>658</v>
      </c>
      <c r="H26" s="13" t="s">
        <v>658</v>
      </c>
      <c r="I26" s="13" t="s">
        <v>658</v>
      </c>
      <c r="J26" s="13">
        <v>58.493600000000001</v>
      </c>
      <c r="K26" s="13">
        <v>61.436199999999999</v>
      </c>
      <c r="L26" s="13">
        <v>64.820599999999999</v>
      </c>
      <c r="M26" s="13">
        <v>100.71</v>
      </c>
      <c r="N26" s="13">
        <v>114.2398</v>
      </c>
      <c r="O26" s="13" t="s">
        <v>658</v>
      </c>
      <c r="P26" s="13" t="s">
        <v>658</v>
      </c>
      <c r="Q26" s="13" t="s">
        <v>658</v>
      </c>
      <c r="R26" s="13" t="s">
        <v>658</v>
      </c>
      <c r="S26" s="13" t="s">
        <v>658</v>
      </c>
      <c r="T26" s="13" t="s">
        <v>658</v>
      </c>
      <c r="U26" s="13" t="s">
        <v>658</v>
      </c>
      <c r="V26" s="13" t="s">
        <v>658</v>
      </c>
      <c r="W26" s="13" t="s">
        <v>658</v>
      </c>
      <c r="X26" s="13" t="s">
        <v>658</v>
      </c>
    </row>
    <row r="27" spans="1:24" x14ac:dyDescent="0.2">
      <c r="A27" s="10" t="s">
        <v>270</v>
      </c>
      <c r="B27" s="10" t="s">
        <v>271</v>
      </c>
      <c r="C27" s="13">
        <v>62.537799999999997</v>
      </c>
      <c r="D27" s="13">
        <v>81.757599999999996</v>
      </c>
      <c r="E27" s="13">
        <v>89.496899999999997</v>
      </c>
      <c r="F27" s="13">
        <v>13.354799999999999</v>
      </c>
      <c r="G27" s="13">
        <v>57.531799999999997</v>
      </c>
      <c r="H27" s="13" t="s">
        <v>658</v>
      </c>
      <c r="I27" s="13">
        <v>150.78729999999999</v>
      </c>
      <c r="J27" s="13">
        <v>59.058199999999999</v>
      </c>
      <c r="K27" s="13">
        <v>62.246899999999997</v>
      </c>
      <c r="L27" s="13">
        <v>119.5013</v>
      </c>
      <c r="M27" s="13">
        <v>179.81989999999999</v>
      </c>
      <c r="N27" s="13">
        <v>80.196399999999997</v>
      </c>
      <c r="O27" s="13">
        <v>114.9</v>
      </c>
      <c r="P27" s="13">
        <v>147.69999999999999</v>
      </c>
      <c r="Q27" s="13">
        <v>174.13</v>
      </c>
      <c r="R27" s="13">
        <v>228.42</v>
      </c>
      <c r="S27" s="13">
        <v>278.49</v>
      </c>
      <c r="T27" s="13">
        <v>272.14999999999998</v>
      </c>
      <c r="U27" s="13">
        <v>272.95999999999998</v>
      </c>
      <c r="V27" s="13">
        <v>325.7</v>
      </c>
      <c r="W27" s="13">
        <v>421.3</v>
      </c>
      <c r="X27" s="13">
        <v>758.1</v>
      </c>
    </row>
    <row r="28" spans="1:24" x14ac:dyDescent="0.2">
      <c r="A28" s="10" t="s">
        <v>272</v>
      </c>
      <c r="B28" s="10" t="s">
        <v>273</v>
      </c>
      <c r="C28" s="13" t="s">
        <v>658</v>
      </c>
      <c r="D28" s="13" t="s">
        <v>658</v>
      </c>
      <c r="E28" s="13" t="s">
        <v>658</v>
      </c>
      <c r="F28" s="13" t="s">
        <v>658</v>
      </c>
      <c r="G28" s="13" t="s">
        <v>658</v>
      </c>
      <c r="H28" s="13" t="s">
        <v>658</v>
      </c>
      <c r="I28" s="13" t="s">
        <v>658</v>
      </c>
      <c r="J28" s="13" t="s">
        <v>658</v>
      </c>
      <c r="K28" s="13" t="s">
        <v>658</v>
      </c>
      <c r="L28" s="13" t="s">
        <v>658</v>
      </c>
      <c r="M28" s="13">
        <v>520.01880000000006</v>
      </c>
      <c r="N28" s="13">
        <v>387.5</v>
      </c>
      <c r="O28" s="13" t="s">
        <v>658</v>
      </c>
      <c r="P28" s="13" t="s">
        <v>658</v>
      </c>
      <c r="Q28" s="13" t="s">
        <v>658</v>
      </c>
      <c r="R28" s="13" t="s">
        <v>658</v>
      </c>
      <c r="S28" s="13" t="s">
        <v>658</v>
      </c>
      <c r="T28" s="13" t="s">
        <v>658</v>
      </c>
      <c r="U28" s="13" t="s">
        <v>658</v>
      </c>
      <c r="V28" s="13" t="s">
        <v>658</v>
      </c>
      <c r="W28" s="13" t="s">
        <v>658</v>
      </c>
      <c r="X28" s="13" t="s">
        <v>658</v>
      </c>
    </row>
    <row r="29" spans="1:24" x14ac:dyDescent="0.2">
      <c r="A29" s="10" t="s">
        <v>274</v>
      </c>
      <c r="B29" s="10" t="s">
        <v>275</v>
      </c>
      <c r="C29" s="13" t="s">
        <v>658</v>
      </c>
      <c r="D29" s="13" t="s">
        <v>658</v>
      </c>
      <c r="E29" s="13" t="s">
        <v>658</v>
      </c>
      <c r="F29" s="13" t="s">
        <v>658</v>
      </c>
      <c r="G29" s="13" t="s">
        <v>658</v>
      </c>
      <c r="H29" s="13" t="s">
        <v>658</v>
      </c>
      <c r="I29" s="13" t="s">
        <v>658</v>
      </c>
      <c r="J29" s="13" t="s">
        <v>658</v>
      </c>
      <c r="K29" s="13" t="s">
        <v>658</v>
      </c>
      <c r="L29" s="13" t="s">
        <v>658</v>
      </c>
      <c r="M29" s="13" t="s">
        <v>658</v>
      </c>
      <c r="N29" s="13" t="s">
        <v>658</v>
      </c>
      <c r="O29" s="13" t="s">
        <v>658</v>
      </c>
      <c r="P29" s="13" t="s">
        <v>658</v>
      </c>
      <c r="Q29" s="13">
        <v>2.35</v>
      </c>
      <c r="R29" s="13">
        <v>9.4700000000000006</v>
      </c>
      <c r="S29" s="13">
        <v>52.25</v>
      </c>
      <c r="T29" s="13">
        <v>5.74</v>
      </c>
      <c r="U29" s="13">
        <v>15.84</v>
      </c>
      <c r="V29" s="13">
        <v>41.8</v>
      </c>
      <c r="W29" s="13">
        <v>0</v>
      </c>
      <c r="X29" s="13">
        <v>1821.8</v>
      </c>
    </row>
    <row r="30" spans="1:24" x14ac:dyDescent="0.2">
      <c r="A30" s="10" t="s">
        <v>276</v>
      </c>
      <c r="B30" s="10" t="s">
        <v>277</v>
      </c>
      <c r="C30" s="13">
        <v>0.218</v>
      </c>
      <c r="D30" s="13" t="s">
        <v>658</v>
      </c>
      <c r="E30" s="13" t="s">
        <v>658</v>
      </c>
      <c r="F30" s="13" t="s">
        <v>658</v>
      </c>
      <c r="G30" s="13" t="s">
        <v>658</v>
      </c>
      <c r="H30" s="13" t="s">
        <v>658</v>
      </c>
      <c r="I30" s="13" t="s">
        <v>658</v>
      </c>
      <c r="J30" s="13" t="s">
        <v>658</v>
      </c>
      <c r="K30" s="13" t="s">
        <v>658</v>
      </c>
      <c r="L30" s="13" t="s">
        <v>658</v>
      </c>
      <c r="M30" s="13" t="s">
        <v>658</v>
      </c>
      <c r="N30" s="13" t="s">
        <v>658</v>
      </c>
      <c r="O30" s="13" t="s">
        <v>658</v>
      </c>
      <c r="P30" s="13" t="s">
        <v>658</v>
      </c>
      <c r="Q30" s="13" t="s">
        <v>658</v>
      </c>
      <c r="R30" s="13" t="s">
        <v>658</v>
      </c>
      <c r="S30" s="13" t="s">
        <v>658</v>
      </c>
      <c r="T30" s="13" t="s">
        <v>658</v>
      </c>
      <c r="U30" s="13" t="s">
        <v>658</v>
      </c>
      <c r="V30" s="13" t="s">
        <v>658</v>
      </c>
      <c r="W30" s="13" t="s">
        <v>658</v>
      </c>
      <c r="X30" s="13" t="s">
        <v>658</v>
      </c>
    </row>
    <row r="31" spans="1:24" x14ac:dyDescent="0.2">
      <c r="A31" s="10" t="s">
        <v>278</v>
      </c>
      <c r="B31" s="10" t="s">
        <v>279</v>
      </c>
      <c r="C31" s="13">
        <v>770.2758</v>
      </c>
      <c r="D31" s="13" t="s">
        <v>658</v>
      </c>
      <c r="E31" s="13" t="s">
        <v>658</v>
      </c>
      <c r="F31" s="13">
        <v>1845.4072000000001</v>
      </c>
      <c r="G31" s="13" t="s">
        <v>658</v>
      </c>
      <c r="H31" s="13" t="s">
        <v>658</v>
      </c>
      <c r="I31" s="13">
        <v>2444.0547000000001</v>
      </c>
      <c r="J31" s="13" t="s">
        <v>658</v>
      </c>
      <c r="K31" s="13" t="s">
        <v>658</v>
      </c>
      <c r="L31" s="13" t="s">
        <v>658</v>
      </c>
      <c r="M31" s="13" t="s">
        <v>658</v>
      </c>
      <c r="N31" s="13" t="s">
        <v>658</v>
      </c>
      <c r="O31" s="13" t="s">
        <v>658</v>
      </c>
      <c r="P31" s="13" t="s">
        <v>658</v>
      </c>
      <c r="Q31" s="13" t="s">
        <v>658</v>
      </c>
      <c r="R31" s="13" t="s">
        <v>658</v>
      </c>
      <c r="S31" s="13" t="s">
        <v>658</v>
      </c>
      <c r="T31" s="13" t="s">
        <v>658</v>
      </c>
      <c r="U31" s="13" t="s">
        <v>658</v>
      </c>
      <c r="V31" s="13" t="s">
        <v>658</v>
      </c>
      <c r="W31" s="13" t="s">
        <v>658</v>
      </c>
      <c r="X31" s="13" t="s">
        <v>658</v>
      </c>
    </row>
    <row r="32" spans="1:24" x14ac:dyDescent="0.2">
      <c r="A32" s="6" t="s">
        <v>280</v>
      </c>
      <c r="B32" s="6" t="s">
        <v>281</v>
      </c>
      <c r="C32" s="19" t="s">
        <v>658</v>
      </c>
      <c r="D32" s="19" t="s">
        <v>658</v>
      </c>
      <c r="E32" s="19" t="s">
        <v>658</v>
      </c>
      <c r="F32" s="19" t="s">
        <v>658</v>
      </c>
      <c r="G32" s="19" t="s">
        <v>658</v>
      </c>
      <c r="H32" s="19" t="s">
        <v>658</v>
      </c>
      <c r="I32" s="19" t="s">
        <v>658</v>
      </c>
      <c r="J32" s="19" t="s">
        <v>658</v>
      </c>
      <c r="K32" s="19" t="s">
        <v>658</v>
      </c>
      <c r="L32" s="19" t="s">
        <v>658</v>
      </c>
      <c r="M32" s="19" t="s">
        <v>658</v>
      </c>
      <c r="N32" s="19" t="s">
        <v>658</v>
      </c>
      <c r="O32" s="19" t="s">
        <v>658</v>
      </c>
      <c r="P32" s="19">
        <v>1581.02</v>
      </c>
      <c r="Q32" s="19">
        <v>1797.61</v>
      </c>
      <c r="R32" s="19">
        <v>1878.97</v>
      </c>
      <c r="S32" s="19">
        <v>3021.26</v>
      </c>
      <c r="T32" s="19">
        <v>1928.21</v>
      </c>
      <c r="U32" s="19">
        <v>2563.19</v>
      </c>
      <c r="V32" s="19">
        <v>2406.1999999999998</v>
      </c>
      <c r="W32" s="19">
        <v>2425.3000000000002</v>
      </c>
      <c r="X32" s="19">
        <v>6999.9</v>
      </c>
    </row>
    <row r="33" spans="1:24" x14ac:dyDescent="0.2">
      <c r="A33" s="10" t="s">
        <v>282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spans="1:24" x14ac:dyDescent="0.2">
      <c r="A34" s="10" t="s">
        <v>283</v>
      </c>
      <c r="B34" s="10" t="s">
        <v>284</v>
      </c>
      <c r="C34" s="13">
        <v>264.35309999999998</v>
      </c>
      <c r="D34" s="13">
        <v>1003.7895</v>
      </c>
      <c r="E34" s="13">
        <v>960.31560000000002</v>
      </c>
      <c r="F34" s="13">
        <v>1049.0409999999999</v>
      </c>
      <c r="G34" s="13">
        <v>1027.6190999999999</v>
      </c>
      <c r="H34" s="13">
        <v>871.125</v>
      </c>
      <c r="I34" s="13">
        <v>543.13800000000003</v>
      </c>
      <c r="J34" s="13">
        <v>334.55840000000001</v>
      </c>
      <c r="K34" s="13">
        <v>255.11930000000001</v>
      </c>
      <c r="L34" s="13">
        <v>107.0309</v>
      </c>
      <c r="M34" s="13">
        <v>252.6995</v>
      </c>
      <c r="N34" s="13">
        <v>268.69330000000002</v>
      </c>
      <c r="O34" s="13">
        <v>537.92999999999995</v>
      </c>
      <c r="P34" s="13">
        <v>123.16</v>
      </c>
      <c r="Q34" s="13">
        <v>115.34</v>
      </c>
      <c r="R34" s="13">
        <v>113.91</v>
      </c>
      <c r="S34" s="13">
        <v>108.14</v>
      </c>
      <c r="T34" s="13">
        <v>106.02</v>
      </c>
      <c r="U34" s="13">
        <v>490.8</v>
      </c>
      <c r="V34" s="13">
        <v>1070.7</v>
      </c>
      <c r="W34" s="13">
        <v>2192.1999999999998</v>
      </c>
      <c r="X34" s="13">
        <v>2178.1999999999998</v>
      </c>
    </row>
    <row r="35" spans="1:24" x14ac:dyDescent="0.2">
      <c r="A35" s="10" t="s">
        <v>285</v>
      </c>
      <c r="B35" s="10" t="s">
        <v>286</v>
      </c>
      <c r="C35" s="13" t="s">
        <v>658</v>
      </c>
      <c r="D35" s="13" t="s">
        <v>658</v>
      </c>
      <c r="E35" s="13" t="s">
        <v>658</v>
      </c>
      <c r="F35" s="13" t="s">
        <v>658</v>
      </c>
      <c r="G35" s="13">
        <v>37.814900000000002</v>
      </c>
      <c r="H35" s="13" t="s">
        <v>658</v>
      </c>
      <c r="I35" s="13">
        <v>90.482399999999998</v>
      </c>
      <c r="J35" s="13">
        <v>164.58629999999999</v>
      </c>
      <c r="K35" s="13">
        <v>160.80080000000001</v>
      </c>
      <c r="L35" s="13">
        <v>171.30099999999999</v>
      </c>
      <c r="M35" s="13">
        <v>109.8391</v>
      </c>
      <c r="N35" s="13">
        <v>109.6949</v>
      </c>
      <c r="O35" s="13" t="s">
        <v>658</v>
      </c>
      <c r="P35" s="13" t="s">
        <v>658</v>
      </c>
      <c r="Q35" s="13" t="s">
        <v>658</v>
      </c>
      <c r="R35" s="13" t="s">
        <v>658</v>
      </c>
      <c r="S35" s="13" t="s">
        <v>658</v>
      </c>
      <c r="T35" s="13" t="s">
        <v>658</v>
      </c>
      <c r="U35" s="13" t="s">
        <v>658</v>
      </c>
      <c r="V35" s="13" t="s">
        <v>658</v>
      </c>
      <c r="W35" s="13" t="s">
        <v>658</v>
      </c>
      <c r="X35" s="13" t="s">
        <v>658</v>
      </c>
    </row>
    <row r="36" spans="1:24" x14ac:dyDescent="0.2">
      <c r="A36" s="10" t="s">
        <v>287</v>
      </c>
      <c r="B36" s="10" t="s">
        <v>288</v>
      </c>
      <c r="C36" s="13">
        <v>258.6352</v>
      </c>
      <c r="D36" s="13">
        <v>272.48129999999998</v>
      </c>
      <c r="E36" s="13">
        <v>321.59280000000001</v>
      </c>
      <c r="F36" s="13">
        <v>329.2312</v>
      </c>
      <c r="G36" s="13">
        <v>364.79790000000003</v>
      </c>
      <c r="H36" s="13">
        <v>801.26179999999999</v>
      </c>
      <c r="I36" s="13">
        <v>810.57979999999998</v>
      </c>
      <c r="J36" s="13">
        <v>738.01589999999999</v>
      </c>
      <c r="K36" s="13">
        <v>1028.7917</v>
      </c>
      <c r="L36" s="13">
        <v>1134.0671</v>
      </c>
      <c r="M36" s="13">
        <v>1204.6441</v>
      </c>
      <c r="N36" s="13">
        <v>1122.4197999999999</v>
      </c>
      <c r="O36" s="13">
        <v>1155.47</v>
      </c>
      <c r="P36" s="13">
        <v>1163.82</v>
      </c>
      <c r="Q36" s="13">
        <v>1112.1400000000001</v>
      </c>
      <c r="R36" s="13">
        <v>1177.3499999999999</v>
      </c>
      <c r="S36" s="13">
        <v>1180.0899999999999</v>
      </c>
      <c r="T36" s="13">
        <v>1155</v>
      </c>
      <c r="U36" s="13">
        <v>1147.21</v>
      </c>
      <c r="V36" s="13">
        <v>1137.9000000000001</v>
      </c>
      <c r="W36" s="13">
        <v>1029</v>
      </c>
      <c r="X36" s="13">
        <v>1163.3</v>
      </c>
    </row>
    <row r="37" spans="1:24" x14ac:dyDescent="0.2">
      <c r="A37" s="10" t="s">
        <v>289</v>
      </c>
      <c r="B37" s="10" t="s">
        <v>290</v>
      </c>
      <c r="C37" s="13" t="s">
        <v>658</v>
      </c>
      <c r="D37" s="13" t="s">
        <v>658</v>
      </c>
      <c r="E37" s="13" t="s">
        <v>658</v>
      </c>
      <c r="F37" s="13" t="s">
        <v>658</v>
      </c>
      <c r="G37" s="13" t="s">
        <v>658</v>
      </c>
      <c r="H37" s="13" t="s">
        <v>658</v>
      </c>
      <c r="I37" s="13" t="s">
        <v>658</v>
      </c>
      <c r="J37" s="13">
        <v>60.760199999999998</v>
      </c>
      <c r="K37" s="13">
        <v>492.22039999999998</v>
      </c>
      <c r="L37" s="13">
        <v>523.80119999999999</v>
      </c>
      <c r="M37" s="13">
        <v>1262.5898999999999</v>
      </c>
      <c r="N37" s="13">
        <v>1259.1461999999999</v>
      </c>
      <c r="O37" s="13" t="s">
        <v>658</v>
      </c>
      <c r="P37" s="13">
        <v>1642.81</v>
      </c>
      <c r="Q37" s="13" t="s">
        <v>658</v>
      </c>
      <c r="R37" s="13">
        <v>2346.1</v>
      </c>
      <c r="S37" s="13">
        <v>2116.81</v>
      </c>
      <c r="T37" s="13">
        <v>806.13</v>
      </c>
      <c r="U37" s="13">
        <v>811.56</v>
      </c>
      <c r="V37" s="13">
        <v>839.6</v>
      </c>
      <c r="W37" s="13">
        <v>1026.0999999999999</v>
      </c>
      <c r="X37" s="13">
        <v>6913.4</v>
      </c>
    </row>
    <row r="38" spans="1:24" x14ac:dyDescent="0.2">
      <c r="A38" s="10" t="s">
        <v>291</v>
      </c>
      <c r="B38" s="10" t="s">
        <v>292</v>
      </c>
      <c r="C38" s="13" t="s">
        <v>658</v>
      </c>
      <c r="D38" s="13" t="s">
        <v>658</v>
      </c>
      <c r="E38" s="13" t="s">
        <v>658</v>
      </c>
      <c r="F38" s="13" t="s">
        <v>658</v>
      </c>
      <c r="G38" s="13" t="s">
        <v>658</v>
      </c>
      <c r="H38" s="13" t="s">
        <v>658</v>
      </c>
      <c r="I38" s="13" t="s">
        <v>658</v>
      </c>
      <c r="J38" s="13" t="s">
        <v>658</v>
      </c>
      <c r="K38" s="13" t="s">
        <v>658</v>
      </c>
      <c r="L38" s="13" t="s">
        <v>658</v>
      </c>
      <c r="M38" s="13" t="s">
        <v>658</v>
      </c>
      <c r="N38" s="13" t="s">
        <v>658</v>
      </c>
      <c r="O38" s="13" t="s">
        <v>658</v>
      </c>
      <c r="P38" s="13">
        <v>1642.81</v>
      </c>
      <c r="Q38" s="13">
        <v>237.54</v>
      </c>
      <c r="R38" s="13">
        <v>221.85</v>
      </c>
      <c r="S38" s="13">
        <v>168.89</v>
      </c>
      <c r="T38" s="13">
        <v>81.63</v>
      </c>
      <c r="U38" s="13">
        <v>78.88</v>
      </c>
      <c r="V38" s="13">
        <v>58</v>
      </c>
      <c r="W38" s="13">
        <v>54.2</v>
      </c>
      <c r="X38" s="13">
        <v>843.9</v>
      </c>
    </row>
    <row r="39" spans="1:24" x14ac:dyDescent="0.2">
      <c r="A39" s="10" t="s">
        <v>293</v>
      </c>
      <c r="B39" s="10" t="s">
        <v>294</v>
      </c>
      <c r="C39" s="13" t="s">
        <v>658</v>
      </c>
      <c r="D39" s="13" t="s">
        <v>658</v>
      </c>
      <c r="E39" s="13" t="s">
        <v>658</v>
      </c>
      <c r="F39" s="13" t="s">
        <v>658</v>
      </c>
      <c r="G39" s="13" t="s">
        <v>658</v>
      </c>
      <c r="H39" s="13" t="s">
        <v>658</v>
      </c>
      <c r="I39" s="13" t="s">
        <v>658</v>
      </c>
      <c r="J39" s="13" t="s">
        <v>658</v>
      </c>
      <c r="K39" s="13" t="s">
        <v>658</v>
      </c>
      <c r="L39" s="13" t="s">
        <v>658</v>
      </c>
      <c r="M39" s="13" t="s">
        <v>658</v>
      </c>
      <c r="N39" s="13" t="s">
        <v>658</v>
      </c>
      <c r="O39" s="13">
        <v>1.1000000000000001E-3</v>
      </c>
      <c r="P39" s="13" t="s">
        <v>658</v>
      </c>
      <c r="Q39" s="13">
        <v>1752.37</v>
      </c>
      <c r="R39" s="13">
        <v>2124.25</v>
      </c>
      <c r="S39" s="13">
        <v>1947.92</v>
      </c>
      <c r="T39" s="13">
        <v>724.5</v>
      </c>
      <c r="U39" s="13">
        <v>732.68</v>
      </c>
      <c r="V39" s="13">
        <v>781.6</v>
      </c>
      <c r="W39" s="13">
        <v>971.9</v>
      </c>
      <c r="X39" s="13">
        <v>6069.5</v>
      </c>
    </row>
    <row r="40" spans="1:24" x14ac:dyDescent="0.2">
      <c r="A40" s="10" t="s">
        <v>295</v>
      </c>
      <c r="B40" s="10" t="s">
        <v>296</v>
      </c>
      <c r="C40" s="13" t="s">
        <v>658</v>
      </c>
      <c r="D40" s="13" t="s">
        <v>658</v>
      </c>
      <c r="E40" s="13">
        <v>2.0924999999999998</v>
      </c>
      <c r="F40" s="13">
        <v>5</v>
      </c>
      <c r="G40" s="13" t="s">
        <v>658</v>
      </c>
      <c r="H40" s="13" t="s">
        <v>658</v>
      </c>
      <c r="I40" s="13" t="s">
        <v>658</v>
      </c>
      <c r="J40" s="13">
        <v>37.973599999999998</v>
      </c>
      <c r="K40" s="13">
        <v>75.893299999999996</v>
      </c>
      <c r="L40" s="13">
        <v>67.753600000000006</v>
      </c>
      <c r="M40" s="13">
        <v>74.269400000000005</v>
      </c>
      <c r="N40" s="13">
        <v>76.801000000000002</v>
      </c>
      <c r="O40" s="13">
        <v>0</v>
      </c>
      <c r="P40" s="13">
        <v>4.79</v>
      </c>
      <c r="Q40" s="13">
        <v>111.11</v>
      </c>
      <c r="R40" s="13">
        <v>170.21</v>
      </c>
      <c r="S40" s="13">
        <v>163.85</v>
      </c>
      <c r="T40" s="13">
        <v>140.28</v>
      </c>
      <c r="U40" s="13">
        <v>170.54</v>
      </c>
      <c r="V40" s="13">
        <v>141.1</v>
      </c>
      <c r="W40" s="13">
        <v>80.099999999999994</v>
      </c>
      <c r="X40" s="13">
        <v>180.4</v>
      </c>
    </row>
    <row r="41" spans="1:24" x14ac:dyDescent="0.2">
      <c r="A41" s="10" t="s">
        <v>297</v>
      </c>
      <c r="B41" s="10" t="s">
        <v>298</v>
      </c>
      <c r="C41" s="13" t="s">
        <v>658</v>
      </c>
      <c r="D41" s="13" t="s">
        <v>658</v>
      </c>
      <c r="E41" s="13" t="s">
        <v>658</v>
      </c>
      <c r="F41" s="13" t="s">
        <v>658</v>
      </c>
      <c r="G41" s="13" t="s">
        <v>658</v>
      </c>
      <c r="H41" s="13" t="s">
        <v>658</v>
      </c>
      <c r="I41" s="13" t="s">
        <v>658</v>
      </c>
      <c r="J41" s="13" t="s">
        <v>658</v>
      </c>
      <c r="K41" s="13" t="s">
        <v>658</v>
      </c>
      <c r="L41" s="13" t="s">
        <v>658</v>
      </c>
      <c r="M41" s="13" t="s">
        <v>658</v>
      </c>
      <c r="N41" s="13" t="s">
        <v>658</v>
      </c>
      <c r="O41" s="13">
        <v>0</v>
      </c>
      <c r="P41" s="13" t="s">
        <v>658</v>
      </c>
      <c r="Q41" s="13">
        <v>139.94</v>
      </c>
      <c r="R41" s="13">
        <v>24.91</v>
      </c>
      <c r="S41" s="13">
        <v>50.31</v>
      </c>
      <c r="T41" s="13">
        <v>153.88</v>
      </c>
      <c r="U41" s="13">
        <v>168.68</v>
      </c>
      <c r="V41" s="13">
        <v>139.4</v>
      </c>
      <c r="W41" s="13">
        <v>125.2</v>
      </c>
      <c r="X41" s="13">
        <v>57.1</v>
      </c>
    </row>
    <row r="42" spans="1:24" x14ac:dyDescent="0.2">
      <c r="A42" s="10" t="s">
        <v>299</v>
      </c>
      <c r="B42" s="10" t="s">
        <v>300</v>
      </c>
      <c r="C42" s="13">
        <v>19.589300000000001</v>
      </c>
      <c r="D42" s="13" t="s">
        <v>658</v>
      </c>
      <c r="E42" s="13">
        <v>107.95529999999999</v>
      </c>
      <c r="F42" s="13">
        <v>118.9141</v>
      </c>
      <c r="G42" s="13" t="s">
        <v>658</v>
      </c>
      <c r="H42" s="13" t="s">
        <v>658</v>
      </c>
      <c r="I42" s="13" t="s">
        <v>658</v>
      </c>
      <c r="J42" s="13">
        <v>59.920400000000001</v>
      </c>
      <c r="K42" s="13">
        <v>33.770699999999998</v>
      </c>
      <c r="L42" s="13">
        <v>33.6218</v>
      </c>
      <c r="M42" s="13">
        <v>85.4041</v>
      </c>
      <c r="N42" s="13">
        <v>96.686400000000006</v>
      </c>
      <c r="O42" s="13">
        <v>1400</v>
      </c>
      <c r="P42" s="13" t="s">
        <v>658</v>
      </c>
      <c r="Q42" s="13" t="s">
        <v>658</v>
      </c>
      <c r="R42" s="13" t="s">
        <v>658</v>
      </c>
      <c r="S42" s="13" t="s">
        <v>658</v>
      </c>
      <c r="T42" s="13" t="s">
        <v>658</v>
      </c>
      <c r="U42" s="13" t="s">
        <v>658</v>
      </c>
      <c r="V42" s="13" t="s">
        <v>658</v>
      </c>
      <c r="W42" s="13" t="s">
        <v>658</v>
      </c>
      <c r="X42" s="13" t="s">
        <v>658</v>
      </c>
    </row>
    <row r="43" spans="1:24" x14ac:dyDescent="0.2">
      <c r="A43" s="10" t="s">
        <v>301</v>
      </c>
      <c r="B43" s="10" t="s">
        <v>302</v>
      </c>
      <c r="C43" s="13" t="s">
        <v>658</v>
      </c>
      <c r="D43" s="13" t="s">
        <v>658</v>
      </c>
      <c r="E43" s="13" t="s">
        <v>658</v>
      </c>
      <c r="F43" s="13" t="s">
        <v>658</v>
      </c>
      <c r="G43" s="13" t="s">
        <v>658</v>
      </c>
      <c r="H43" s="13" t="s">
        <v>658</v>
      </c>
      <c r="I43" s="13" t="s">
        <v>658</v>
      </c>
      <c r="J43" s="13">
        <v>37.973599999999998</v>
      </c>
      <c r="K43" s="13">
        <v>125.34220000000001</v>
      </c>
      <c r="L43" s="13">
        <v>127.7711</v>
      </c>
      <c r="M43" s="13">
        <v>174.1592</v>
      </c>
      <c r="N43" s="13">
        <v>294.32499999999999</v>
      </c>
      <c r="O43" s="13">
        <v>342.99</v>
      </c>
      <c r="P43" s="13">
        <v>260.12</v>
      </c>
      <c r="Q43" s="13">
        <v>3.69</v>
      </c>
      <c r="R43" s="13">
        <v>0.28999999999999998</v>
      </c>
      <c r="S43" s="13">
        <v>1.3</v>
      </c>
      <c r="T43" s="13">
        <v>0.27</v>
      </c>
      <c r="U43" s="13">
        <v>0.01</v>
      </c>
      <c r="V43" s="13">
        <v>0</v>
      </c>
      <c r="W43" s="13" t="s">
        <v>658</v>
      </c>
      <c r="X43" s="13" t="s">
        <v>658</v>
      </c>
    </row>
    <row r="44" spans="1:24" x14ac:dyDescent="0.2">
      <c r="A44" s="10" t="s">
        <v>303</v>
      </c>
      <c r="B44" s="10" t="s">
        <v>304</v>
      </c>
      <c r="C44" s="13" t="s">
        <v>658</v>
      </c>
      <c r="D44" s="13" t="s">
        <v>658</v>
      </c>
      <c r="E44" s="13" t="s">
        <v>658</v>
      </c>
      <c r="F44" s="13" t="s">
        <v>658</v>
      </c>
      <c r="G44" s="13" t="s">
        <v>658</v>
      </c>
      <c r="H44" s="13" t="s">
        <v>658</v>
      </c>
      <c r="I44" s="13" t="s">
        <v>658</v>
      </c>
      <c r="J44" s="13">
        <v>1335.8945000000001</v>
      </c>
      <c r="K44" s="13">
        <v>2138.1678000000002</v>
      </c>
      <c r="L44" s="13">
        <v>2131.7248</v>
      </c>
      <c r="M44" s="13">
        <v>3078.2012</v>
      </c>
      <c r="N44" s="13">
        <v>3131.0801000000001</v>
      </c>
      <c r="O44" s="13">
        <v>3454.39</v>
      </c>
      <c r="P44" s="13">
        <v>3207.12</v>
      </c>
      <c r="Q44" s="13">
        <v>3656.95</v>
      </c>
      <c r="R44" s="13">
        <v>4008.41</v>
      </c>
      <c r="S44" s="13">
        <v>3939.28</v>
      </c>
      <c r="T44" s="13">
        <v>2666.28</v>
      </c>
      <c r="U44" s="13">
        <v>3079.68</v>
      </c>
      <c r="V44" s="13">
        <v>3639.3</v>
      </c>
      <c r="W44" s="13">
        <v>5180.6000000000004</v>
      </c>
      <c r="X44" s="13">
        <v>11661.6</v>
      </c>
    </row>
    <row r="45" spans="1:24" x14ac:dyDescent="0.2">
      <c r="A45" s="10" t="s">
        <v>305</v>
      </c>
      <c r="B45" s="10" t="s">
        <v>306</v>
      </c>
      <c r="C45" s="13" t="s">
        <v>658</v>
      </c>
      <c r="D45" s="13" t="s">
        <v>658</v>
      </c>
      <c r="E45" s="13" t="s">
        <v>658</v>
      </c>
      <c r="F45" s="13" t="s">
        <v>658</v>
      </c>
      <c r="G45" s="13" t="s">
        <v>658</v>
      </c>
      <c r="H45" s="13">
        <v>38.860399999999998</v>
      </c>
      <c r="I45" s="13" t="s">
        <v>658</v>
      </c>
      <c r="J45" s="13" t="s">
        <v>658</v>
      </c>
      <c r="K45" s="13" t="s">
        <v>658</v>
      </c>
      <c r="L45" s="13" t="s">
        <v>658</v>
      </c>
      <c r="M45" s="13" t="s">
        <v>658</v>
      </c>
      <c r="N45" s="13" t="s">
        <v>658</v>
      </c>
      <c r="O45" s="13">
        <v>18</v>
      </c>
      <c r="P45" s="13">
        <v>12.42</v>
      </c>
      <c r="Q45" s="13">
        <v>49.91</v>
      </c>
      <c r="R45" s="13">
        <v>9.7799999999999994</v>
      </c>
      <c r="S45" s="13">
        <v>7.33</v>
      </c>
      <c r="T45" s="13">
        <v>0</v>
      </c>
      <c r="U45" s="13">
        <v>34.340000000000003</v>
      </c>
      <c r="V45" s="13">
        <v>0</v>
      </c>
      <c r="W45" s="13" t="s">
        <v>658</v>
      </c>
      <c r="X45" s="13" t="s">
        <v>658</v>
      </c>
    </row>
    <row r="46" spans="1:24" x14ac:dyDescent="0.2">
      <c r="A46" s="10" t="s">
        <v>307</v>
      </c>
      <c r="B46" s="10" t="s">
        <v>308</v>
      </c>
      <c r="C46" s="13" t="s">
        <v>658</v>
      </c>
      <c r="D46" s="13" t="s">
        <v>658</v>
      </c>
      <c r="E46" s="13" t="s">
        <v>658</v>
      </c>
      <c r="F46" s="13" t="s">
        <v>658</v>
      </c>
      <c r="G46" s="13" t="s">
        <v>658</v>
      </c>
      <c r="H46" s="13" t="s">
        <v>658</v>
      </c>
      <c r="I46" s="13" t="s">
        <v>658</v>
      </c>
      <c r="J46" s="13" t="s">
        <v>658</v>
      </c>
      <c r="K46" s="13" t="s">
        <v>658</v>
      </c>
      <c r="L46" s="13" t="s">
        <v>658</v>
      </c>
      <c r="M46" s="13" t="s">
        <v>658</v>
      </c>
      <c r="N46" s="13" t="s">
        <v>658</v>
      </c>
      <c r="O46" s="13" t="s">
        <v>658</v>
      </c>
      <c r="P46" s="13" t="s">
        <v>658</v>
      </c>
      <c r="Q46" s="13" t="s">
        <v>658</v>
      </c>
      <c r="R46" s="13" t="s">
        <v>658</v>
      </c>
      <c r="S46" s="13" t="s">
        <v>658</v>
      </c>
      <c r="T46" s="13" t="s">
        <v>658</v>
      </c>
      <c r="U46" s="13" t="s">
        <v>658</v>
      </c>
      <c r="V46" s="13">
        <v>0</v>
      </c>
      <c r="W46" s="13" t="s">
        <v>658</v>
      </c>
      <c r="X46" s="13" t="s">
        <v>658</v>
      </c>
    </row>
    <row r="47" spans="1:24" x14ac:dyDescent="0.2">
      <c r="A47" s="10" t="s">
        <v>309</v>
      </c>
      <c r="B47" s="10" t="s">
        <v>310</v>
      </c>
      <c r="C47" s="13" t="s">
        <v>658</v>
      </c>
      <c r="D47" s="13" t="s">
        <v>658</v>
      </c>
      <c r="E47" s="13" t="s">
        <v>658</v>
      </c>
      <c r="F47" s="13" t="s">
        <v>658</v>
      </c>
      <c r="G47" s="13" t="s">
        <v>658</v>
      </c>
      <c r="H47" s="13" t="s">
        <v>658</v>
      </c>
      <c r="I47" s="13" t="s">
        <v>658</v>
      </c>
      <c r="J47" s="13" t="s">
        <v>658</v>
      </c>
      <c r="K47" s="13" t="s">
        <v>658</v>
      </c>
      <c r="L47" s="13" t="s">
        <v>658</v>
      </c>
      <c r="M47" s="13" t="s">
        <v>658</v>
      </c>
      <c r="N47" s="13" t="s">
        <v>658</v>
      </c>
      <c r="O47" s="13" t="s">
        <v>658</v>
      </c>
      <c r="P47" s="13" t="s">
        <v>658</v>
      </c>
      <c r="Q47" s="13">
        <v>134.91</v>
      </c>
      <c r="R47" s="13">
        <v>165.86</v>
      </c>
      <c r="S47" s="13">
        <v>138.6</v>
      </c>
      <c r="T47" s="13">
        <v>131.43</v>
      </c>
      <c r="U47" s="13">
        <v>124.31</v>
      </c>
      <c r="V47" s="13">
        <v>107.2</v>
      </c>
      <c r="W47" s="13">
        <v>594.4</v>
      </c>
      <c r="X47" s="13">
        <v>855.5</v>
      </c>
    </row>
    <row r="48" spans="1:24" x14ac:dyDescent="0.2">
      <c r="A48" s="10" t="s">
        <v>311</v>
      </c>
      <c r="B48" s="10" t="s">
        <v>312</v>
      </c>
      <c r="C48" s="13">
        <v>548.27319999999997</v>
      </c>
      <c r="D48" s="13">
        <v>595.74300000000005</v>
      </c>
      <c r="E48" s="13">
        <v>642.83180000000004</v>
      </c>
      <c r="F48" s="13">
        <v>582.95939999999996</v>
      </c>
      <c r="G48" s="13">
        <v>635.78039999999999</v>
      </c>
      <c r="H48" s="13">
        <v>1290.8951</v>
      </c>
      <c r="I48" s="13">
        <v>1366.9186999999999</v>
      </c>
      <c r="J48" s="13" t="s">
        <v>658</v>
      </c>
      <c r="K48" s="13" t="s">
        <v>658</v>
      </c>
      <c r="L48" s="13" t="s">
        <v>658</v>
      </c>
      <c r="M48" s="13" t="s">
        <v>658</v>
      </c>
      <c r="N48" s="13" t="s">
        <v>658</v>
      </c>
      <c r="O48" s="13" t="s">
        <v>658</v>
      </c>
      <c r="P48" s="13" t="s">
        <v>658</v>
      </c>
      <c r="Q48" s="13" t="s">
        <v>658</v>
      </c>
      <c r="R48" s="13" t="s">
        <v>658</v>
      </c>
      <c r="S48" s="13" t="s">
        <v>658</v>
      </c>
      <c r="T48" s="13" t="s">
        <v>658</v>
      </c>
      <c r="U48" s="13" t="s">
        <v>658</v>
      </c>
      <c r="V48" s="13" t="s">
        <v>658</v>
      </c>
      <c r="W48" s="13" t="s">
        <v>658</v>
      </c>
      <c r="X48" s="13" t="s">
        <v>658</v>
      </c>
    </row>
    <row r="49" spans="1:24" x14ac:dyDescent="0.2">
      <c r="A49" s="10" t="s">
        <v>313</v>
      </c>
      <c r="B49" s="10" t="s">
        <v>314</v>
      </c>
      <c r="C49" s="13">
        <v>289.63799999999998</v>
      </c>
      <c r="D49" s="13">
        <v>323.26170000000002</v>
      </c>
      <c r="E49" s="13">
        <v>321.23899999999998</v>
      </c>
      <c r="F49" s="13">
        <v>253.72819999999999</v>
      </c>
      <c r="G49" s="13">
        <v>270.98250000000002</v>
      </c>
      <c r="H49" s="13">
        <v>489.63330000000002</v>
      </c>
      <c r="I49" s="13">
        <v>556.33889999999997</v>
      </c>
      <c r="J49" s="13" t="s">
        <v>658</v>
      </c>
      <c r="K49" s="13" t="s">
        <v>658</v>
      </c>
      <c r="L49" s="13" t="s">
        <v>658</v>
      </c>
      <c r="M49" s="13" t="s">
        <v>658</v>
      </c>
      <c r="N49" s="13" t="s">
        <v>658</v>
      </c>
      <c r="O49" s="13" t="s">
        <v>658</v>
      </c>
      <c r="P49" s="13" t="s">
        <v>658</v>
      </c>
      <c r="Q49" s="13" t="s">
        <v>658</v>
      </c>
      <c r="R49" s="13" t="s">
        <v>658</v>
      </c>
      <c r="S49" s="13" t="s">
        <v>658</v>
      </c>
      <c r="T49" s="13" t="s">
        <v>658</v>
      </c>
      <c r="U49" s="13" t="s">
        <v>658</v>
      </c>
      <c r="V49" s="13" t="s">
        <v>658</v>
      </c>
      <c r="W49" s="13" t="s">
        <v>658</v>
      </c>
      <c r="X49" s="13" t="s">
        <v>658</v>
      </c>
    </row>
    <row r="50" spans="1:24" x14ac:dyDescent="0.2">
      <c r="A50" s="10" t="s">
        <v>315</v>
      </c>
      <c r="B50" s="10" t="s">
        <v>316</v>
      </c>
      <c r="C50" s="13">
        <v>0.2127</v>
      </c>
      <c r="D50" s="13">
        <v>7.3829000000000002</v>
      </c>
      <c r="E50" s="13">
        <v>7.5388999999999999</v>
      </c>
      <c r="F50" s="13" t="s">
        <v>658</v>
      </c>
      <c r="G50" s="13" t="s">
        <v>658</v>
      </c>
      <c r="H50" s="13" t="s">
        <v>658</v>
      </c>
      <c r="I50" s="13" t="s">
        <v>658</v>
      </c>
      <c r="J50" s="13" t="s">
        <v>658</v>
      </c>
      <c r="K50" s="13" t="s">
        <v>658</v>
      </c>
      <c r="L50" s="13" t="s">
        <v>658</v>
      </c>
      <c r="M50" s="13" t="s">
        <v>658</v>
      </c>
      <c r="N50" s="13" t="s">
        <v>658</v>
      </c>
      <c r="O50" s="13" t="s">
        <v>658</v>
      </c>
      <c r="P50" s="13" t="s">
        <v>658</v>
      </c>
      <c r="Q50" s="13" t="s">
        <v>658</v>
      </c>
      <c r="R50" s="13" t="s">
        <v>658</v>
      </c>
      <c r="S50" s="13" t="s">
        <v>658</v>
      </c>
      <c r="T50" s="13" t="s">
        <v>658</v>
      </c>
      <c r="U50" s="13" t="s">
        <v>658</v>
      </c>
      <c r="V50" s="13" t="s">
        <v>658</v>
      </c>
      <c r="W50" s="13" t="s">
        <v>658</v>
      </c>
      <c r="X50" s="13" t="s">
        <v>658</v>
      </c>
    </row>
    <row r="51" spans="1:24" x14ac:dyDescent="0.2">
      <c r="A51" s="6" t="s">
        <v>317</v>
      </c>
      <c r="B51" s="6" t="s">
        <v>318</v>
      </c>
      <c r="C51" s="19" t="s">
        <v>658</v>
      </c>
      <c r="D51" s="19" t="s">
        <v>658</v>
      </c>
      <c r="E51" s="19" t="s">
        <v>658</v>
      </c>
      <c r="F51" s="19" t="s">
        <v>658</v>
      </c>
      <c r="G51" s="19" t="s">
        <v>658</v>
      </c>
      <c r="H51" s="19" t="s">
        <v>658</v>
      </c>
      <c r="I51" s="19" t="s">
        <v>658</v>
      </c>
      <c r="J51" s="19" t="s">
        <v>658</v>
      </c>
      <c r="K51" s="19">
        <v>3925.0416</v>
      </c>
      <c r="L51" s="19">
        <v>4374.8941999999997</v>
      </c>
      <c r="M51" s="19">
        <v>6507.9997999999996</v>
      </c>
      <c r="N51" s="19">
        <v>6761.8143</v>
      </c>
      <c r="O51" s="19">
        <v>7376.8</v>
      </c>
      <c r="P51" s="19">
        <v>7147.23</v>
      </c>
      <c r="Q51" s="19">
        <v>7625.05</v>
      </c>
      <c r="R51" s="19">
        <v>8672.2000000000007</v>
      </c>
      <c r="S51" s="19">
        <v>10100.34</v>
      </c>
      <c r="T51" s="19">
        <v>9080.66</v>
      </c>
      <c r="U51" s="19">
        <v>11097.41</v>
      </c>
      <c r="V51" s="19">
        <v>12813.4</v>
      </c>
      <c r="W51" s="19">
        <v>14632.6</v>
      </c>
      <c r="X51" s="19">
        <v>20564</v>
      </c>
    </row>
    <row r="52" spans="1:24" x14ac:dyDescent="0.2">
      <c r="A52" s="10" t="s">
        <v>319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spans="1:24" x14ac:dyDescent="0.2">
      <c r="A53" s="10" t="s">
        <v>320</v>
      </c>
      <c r="B53" s="10" t="s">
        <v>321</v>
      </c>
      <c r="C53" s="13">
        <v>91.092699999999994</v>
      </c>
      <c r="D53" s="13">
        <v>62.806600000000003</v>
      </c>
      <c r="E53" s="13">
        <v>91.768500000000003</v>
      </c>
      <c r="F53" s="13">
        <v>117.63549999999999</v>
      </c>
      <c r="G53" s="13">
        <v>54.028599999999997</v>
      </c>
      <c r="H53" s="13">
        <v>212.59970000000001</v>
      </c>
      <c r="I53" s="13">
        <v>142.8357</v>
      </c>
      <c r="J53" s="13">
        <v>88.004599999999996</v>
      </c>
      <c r="K53" s="13">
        <v>263.97129999999999</v>
      </c>
      <c r="L53" s="13">
        <v>238.89750000000001</v>
      </c>
      <c r="M53" s="13">
        <v>472.64690000000002</v>
      </c>
      <c r="N53" s="13">
        <v>716.44449999999995</v>
      </c>
      <c r="O53" s="13">
        <v>627.85</v>
      </c>
      <c r="P53" s="13">
        <v>696.25</v>
      </c>
      <c r="Q53" s="13">
        <v>843.49</v>
      </c>
      <c r="R53" s="13">
        <v>734.22</v>
      </c>
      <c r="S53" s="13">
        <v>1987.24</v>
      </c>
      <c r="T53" s="13">
        <v>1125.26</v>
      </c>
      <c r="U53" s="13">
        <v>2073.46</v>
      </c>
      <c r="V53" s="13">
        <v>1538.8</v>
      </c>
      <c r="W53" s="13">
        <v>1312.5</v>
      </c>
      <c r="X53" s="13">
        <v>2279.6</v>
      </c>
    </row>
    <row r="54" spans="1:24" x14ac:dyDescent="0.2">
      <c r="A54" s="10" t="s">
        <v>322</v>
      </c>
      <c r="B54" s="10" t="s">
        <v>323</v>
      </c>
      <c r="C54" s="13">
        <v>251.28489999999999</v>
      </c>
      <c r="D54" s="13">
        <v>445.06420000000003</v>
      </c>
      <c r="E54" s="13">
        <v>474.98700000000002</v>
      </c>
      <c r="F54" s="13">
        <v>461.1671</v>
      </c>
      <c r="G54" s="13">
        <v>493.1028</v>
      </c>
      <c r="H54" s="13" t="s">
        <v>658</v>
      </c>
      <c r="I54" s="13">
        <v>498.6866</v>
      </c>
      <c r="J54" s="13">
        <v>569.86379999999997</v>
      </c>
      <c r="K54" s="13">
        <v>890.74289999999996</v>
      </c>
      <c r="L54" s="13">
        <v>1074.3911000000001</v>
      </c>
      <c r="M54" s="13">
        <v>1519.2729999999999</v>
      </c>
      <c r="N54" s="13">
        <v>1647.6352999999999</v>
      </c>
      <c r="O54" s="13">
        <v>1.8E-3</v>
      </c>
      <c r="P54" s="13" t="s">
        <v>658</v>
      </c>
      <c r="Q54" s="13">
        <v>2047.88</v>
      </c>
      <c r="R54" s="13">
        <v>2461.37</v>
      </c>
      <c r="S54" s="13">
        <v>2724.51</v>
      </c>
      <c r="T54" s="13">
        <v>1835.01</v>
      </c>
      <c r="U54" s="13">
        <v>2445.04</v>
      </c>
      <c r="V54" s="13">
        <v>2689.4</v>
      </c>
      <c r="W54" s="13">
        <v>2863.4</v>
      </c>
      <c r="X54" s="13">
        <v>3018.2</v>
      </c>
    </row>
    <row r="55" spans="1:24" x14ac:dyDescent="0.2">
      <c r="A55" s="10" t="s">
        <v>324</v>
      </c>
      <c r="B55" s="10" t="s">
        <v>325</v>
      </c>
      <c r="C55" s="13">
        <v>1.8917999999999999</v>
      </c>
      <c r="D55" s="13" t="s">
        <v>658</v>
      </c>
      <c r="E55" s="13" t="s">
        <v>658</v>
      </c>
      <c r="F55" s="13" t="s">
        <v>658</v>
      </c>
      <c r="G55" s="13" t="s">
        <v>658</v>
      </c>
      <c r="H55" s="13" t="s">
        <v>658</v>
      </c>
      <c r="I55" s="13" t="s">
        <v>658</v>
      </c>
      <c r="J55" s="13">
        <v>87.042299999999997</v>
      </c>
      <c r="K55" s="13">
        <v>93.687299999999993</v>
      </c>
      <c r="L55" s="13">
        <v>67.492000000000004</v>
      </c>
      <c r="M55" s="13">
        <v>572.49090000000001</v>
      </c>
      <c r="N55" s="13">
        <v>401.41039999999998</v>
      </c>
      <c r="O55" s="13" t="s">
        <v>658</v>
      </c>
      <c r="P55" s="13" t="s">
        <v>658</v>
      </c>
      <c r="Q55" s="13" t="s">
        <v>658</v>
      </c>
      <c r="R55" s="13" t="s">
        <v>658</v>
      </c>
      <c r="S55" s="13" t="s">
        <v>658</v>
      </c>
      <c r="T55" s="13" t="s">
        <v>658</v>
      </c>
      <c r="U55" s="13" t="s">
        <v>658</v>
      </c>
      <c r="V55" s="13" t="s">
        <v>658</v>
      </c>
      <c r="W55" s="13" t="s">
        <v>658</v>
      </c>
      <c r="X55" s="13" t="s">
        <v>658</v>
      </c>
    </row>
    <row r="56" spans="1:24" x14ac:dyDescent="0.2">
      <c r="A56" s="10" t="s">
        <v>326</v>
      </c>
      <c r="B56" s="10" t="s">
        <v>327</v>
      </c>
      <c r="C56" s="13" t="s">
        <v>658</v>
      </c>
      <c r="D56" s="13" t="s">
        <v>658</v>
      </c>
      <c r="E56" s="13" t="s">
        <v>658</v>
      </c>
      <c r="F56" s="13" t="s">
        <v>658</v>
      </c>
      <c r="G56" s="13" t="s">
        <v>658</v>
      </c>
      <c r="H56" s="13" t="s">
        <v>658</v>
      </c>
      <c r="I56" s="13" t="s">
        <v>658</v>
      </c>
      <c r="J56" s="13" t="s">
        <v>658</v>
      </c>
      <c r="K56" s="13" t="s">
        <v>658</v>
      </c>
      <c r="L56" s="13" t="s">
        <v>658</v>
      </c>
      <c r="M56" s="13" t="s">
        <v>658</v>
      </c>
      <c r="N56" s="13" t="s">
        <v>658</v>
      </c>
      <c r="O56" s="13" t="s">
        <v>658</v>
      </c>
      <c r="P56" s="13" t="s">
        <v>658</v>
      </c>
      <c r="Q56" s="13" t="s">
        <v>658</v>
      </c>
      <c r="R56" s="13">
        <v>0</v>
      </c>
      <c r="S56" s="13">
        <v>12.5</v>
      </c>
      <c r="T56" s="13">
        <v>0</v>
      </c>
      <c r="U56" s="13">
        <v>12.34</v>
      </c>
      <c r="V56" s="13">
        <v>228.1</v>
      </c>
      <c r="W56" s="13">
        <v>0</v>
      </c>
      <c r="X56" s="13" t="s">
        <v>658</v>
      </c>
    </row>
    <row r="57" spans="1:24" x14ac:dyDescent="0.2">
      <c r="A57" s="10" t="s">
        <v>328</v>
      </c>
      <c r="B57" s="10" t="s">
        <v>329</v>
      </c>
      <c r="C57" s="13" t="s">
        <v>658</v>
      </c>
      <c r="D57" s="13" t="s">
        <v>658</v>
      </c>
      <c r="E57" s="13" t="s">
        <v>658</v>
      </c>
      <c r="F57" s="13" t="s">
        <v>658</v>
      </c>
      <c r="G57" s="13" t="s">
        <v>658</v>
      </c>
      <c r="H57" s="13">
        <v>2.9788000000000001</v>
      </c>
      <c r="I57" s="13" t="s">
        <v>658</v>
      </c>
      <c r="J57" s="13" t="s">
        <v>658</v>
      </c>
      <c r="K57" s="13" t="s">
        <v>658</v>
      </c>
      <c r="L57" s="13" t="s">
        <v>658</v>
      </c>
      <c r="M57" s="13" t="s">
        <v>658</v>
      </c>
      <c r="N57" s="13" t="s">
        <v>658</v>
      </c>
      <c r="O57" s="13">
        <v>386.04</v>
      </c>
      <c r="P57" s="13">
        <v>507.07</v>
      </c>
      <c r="Q57" s="13">
        <v>215.9</v>
      </c>
      <c r="R57" s="13">
        <v>292.35000000000002</v>
      </c>
      <c r="S57" s="13">
        <v>351.27</v>
      </c>
      <c r="T57" s="13">
        <v>321.02999999999997</v>
      </c>
      <c r="U57" s="13">
        <v>297.56</v>
      </c>
      <c r="V57" s="13">
        <v>478.4</v>
      </c>
      <c r="W57" s="13">
        <v>517.4</v>
      </c>
      <c r="X57" s="13">
        <v>694.5</v>
      </c>
    </row>
    <row r="58" spans="1:24" x14ac:dyDescent="0.2">
      <c r="A58" s="10" t="s">
        <v>330</v>
      </c>
      <c r="B58" s="10" t="s">
        <v>331</v>
      </c>
      <c r="C58" s="13" t="s">
        <v>658</v>
      </c>
      <c r="D58" s="13">
        <v>957.24789999999996</v>
      </c>
      <c r="E58" s="13" t="s">
        <v>658</v>
      </c>
      <c r="F58" s="13">
        <v>184.2911</v>
      </c>
      <c r="G58" s="13" t="s">
        <v>658</v>
      </c>
      <c r="H58" s="13">
        <v>5.8444000000000003</v>
      </c>
      <c r="I58" s="13">
        <v>7.4858000000000002</v>
      </c>
      <c r="J58" s="13">
        <v>495.88150000000002</v>
      </c>
      <c r="K58" s="13">
        <v>193.00700000000001</v>
      </c>
      <c r="L58" s="13">
        <v>332.79250000000002</v>
      </c>
      <c r="M58" s="13" t="s">
        <v>658</v>
      </c>
      <c r="N58" s="13" t="s">
        <v>658</v>
      </c>
      <c r="O58" s="13">
        <v>8.0000000000000004E-4</v>
      </c>
      <c r="P58" s="13">
        <v>480.83</v>
      </c>
      <c r="Q58" s="13">
        <v>212.99</v>
      </c>
      <c r="R58" s="13">
        <v>454.5</v>
      </c>
      <c r="S58" s="13">
        <v>254.95</v>
      </c>
      <c r="T58" s="13">
        <v>1459.25</v>
      </c>
      <c r="U58" s="13">
        <v>2243.69</v>
      </c>
      <c r="V58" s="13">
        <v>2474.1999999999998</v>
      </c>
      <c r="W58" s="13">
        <v>3270.1</v>
      </c>
      <c r="X58" s="13">
        <v>1373.7</v>
      </c>
    </row>
    <row r="59" spans="1:24" x14ac:dyDescent="0.2">
      <c r="A59" s="10" t="s">
        <v>332</v>
      </c>
      <c r="B59" s="10" t="s">
        <v>333</v>
      </c>
      <c r="C59" s="13" t="s">
        <v>658</v>
      </c>
      <c r="D59" s="13" t="s">
        <v>658</v>
      </c>
      <c r="E59" s="13" t="s">
        <v>658</v>
      </c>
      <c r="F59" s="13" t="s">
        <v>658</v>
      </c>
      <c r="G59" s="13" t="s">
        <v>658</v>
      </c>
      <c r="H59" s="13">
        <v>635.69489999999996</v>
      </c>
      <c r="I59" s="13" t="s">
        <v>658</v>
      </c>
      <c r="J59" s="13" t="s">
        <v>658</v>
      </c>
      <c r="K59" s="13" t="s">
        <v>658</v>
      </c>
      <c r="L59" s="13" t="s">
        <v>658</v>
      </c>
      <c r="M59" s="13" t="s">
        <v>658</v>
      </c>
      <c r="N59" s="13" t="s">
        <v>658</v>
      </c>
      <c r="O59" s="13">
        <v>1849.52</v>
      </c>
      <c r="P59" s="13">
        <v>1914.8</v>
      </c>
      <c r="Q59" s="13" t="s">
        <v>658</v>
      </c>
      <c r="R59" s="13" t="s">
        <v>658</v>
      </c>
      <c r="S59" s="13" t="s">
        <v>658</v>
      </c>
      <c r="T59" s="13" t="s">
        <v>658</v>
      </c>
      <c r="U59" s="13" t="s">
        <v>658</v>
      </c>
      <c r="V59" s="13" t="s">
        <v>658</v>
      </c>
      <c r="W59" s="13" t="s">
        <v>658</v>
      </c>
      <c r="X59" s="13" t="s">
        <v>658</v>
      </c>
    </row>
    <row r="60" spans="1:24" x14ac:dyDescent="0.2">
      <c r="A60" s="10" t="s">
        <v>334</v>
      </c>
      <c r="B60" s="10" t="s">
        <v>335</v>
      </c>
      <c r="C60" s="13">
        <v>66.359300000000005</v>
      </c>
      <c r="D60" s="13">
        <v>74.552800000000005</v>
      </c>
      <c r="E60" s="13">
        <v>140.17359999999999</v>
      </c>
      <c r="F60" s="13">
        <v>67.734499999999997</v>
      </c>
      <c r="G60" s="13">
        <v>130.2578</v>
      </c>
      <c r="H60" s="13">
        <v>574.1277</v>
      </c>
      <c r="I60" s="13">
        <v>769.53800000000001</v>
      </c>
      <c r="J60" s="13">
        <v>450.23219999999998</v>
      </c>
      <c r="K60" s="13">
        <v>345.46539999999999</v>
      </c>
      <c r="L60" s="13">
        <v>339.60919999999999</v>
      </c>
      <c r="M60" s="13">
        <v>251.34739999999999</v>
      </c>
      <c r="N60" s="13">
        <v>294.52120000000002</v>
      </c>
      <c r="O60" s="13">
        <v>293.74</v>
      </c>
      <c r="P60" s="13">
        <v>341.16</v>
      </c>
      <c r="Q60" s="13">
        <v>15.97</v>
      </c>
      <c r="R60" s="13">
        <v>3.65</v>
      </c>
      <c r="S60" s="13">
        <v>10.97</v>
      </c>
      <c r="T60" s="13">
        <v>4.6500000000000004</v>
      </c>
      <c r="U60" s="13">
        <v>2.73</v>
      </c>
      <c r="V60" s="13">
        <v>2.4</v>
      </c>
      <c r="W60" s="13">
        <v>1.6</v>
      </c>
      <c r="X60" s="13">
        <v>0.6</v>
      </c>
    </row>
    <row r="61" spans="1:24" x14ac:dyDescent="0.2">
      <c r="A61" s="10" t="s">
        <v>336</v>
      </c>
      <c r="B61" s="10" t="s">
        <v>337</v>
      </c>
      <c r="C61" s="13" t="s">
        <v>658</v>
      </c>
      <c r="D61" s="13" t="s">
        <v>658</v>
      </c>
      <c r="E61" s="13" t="s">
        <v>658</v>
      </c>
      <c r="F61" s="13" t="s">
        <v>658</v>
      </c>
      <c r="G61" s="13" t="s">
        <v>658</v>
      </c>
      <c r="H61" s="13" t="s">
        <v>658</v>
      </c>
      <c r="I61" s="13" t="s">
        <v>658</v>
      </c>
      <c r="J61" s="13" t="s">
        <v>658</v>
      </c>
      <c r="K61" s="13" t="s">
        <v>658</v>
      </c>
      <c r="L61" s="13" t="s">
        <v>658</v>
      </c>
      <c r="M61" s="13" t="s">
        <v>658</v>
      </c>
      <c r="N61" s="13" t="s">
        <v>658</v>
      </c>
      <c r="O61" s="13" t="s">
        <v>658</v>
      </c>
      <c r="P61" s="13" t="s">
        <v>658</v>
      </c>
      <c r="Q61" s="13">
        <v>620.46</v>
      </c>
      <c r="R61" s="13">
        <v>698.84</v>
      </c>
      <c r="S61" s="13">
        <v>770.13</v>
      </c>
      <c r="T61" s="13">
        <v>1593.86</v>
      </c>
      <c r="U61" s="13">
        <v>878.78</v>
      </c>
      <c r="V61" s="13">
        <v>1647.1</v>
      </c>
      <c r="W61" s="13">
        <v>1403.2</v>
      </c>
      <c r="X61" s="13">
        <v>1454.9</v>
      </c>
    </row>
    <row r="62" spans="1:24" x14ac:dyDescent="0.2">
      <c r="A62" s="10" t="s">
        <v>338</v>
      </c>
      <c r="B62" s="10" t="s">
        <v>339</v>
      </c>
      <c r="C62" s="13" t="s">
        <v>658</v>
      </c>
      <c r="D62" s="13" t="s">
        <v>658</v>
      </c>
      <c r="E62" s="13" t="s">
        <v>658</v>
      </c>
      <c r="F62" s="13" t="s">
        <v>658</v>
      </c>
      <c r="G62" s="13" t="s">
        <v>658</v>
      </c>
      <c r="H62" s="13" t="s">
        <v>658</v>
      </c>
      <c r="I62" s="13" t="s">
        <v>658</v>
      </c>
      <c r="J62" s="13" t="s">
        <v>658</v>
      </c>
      <c r="K62" s="13" t="s">
        <v>658</v>
      </c>
      <c r="L62" s="13" t="s">
        <v>658</v>
      </c>
      <c r="M62" s="13" t="s">
        <v>658</v>
      </c>
      <c r="N62" s="13" t="s">
        <v>658</v>
      </c>
      <c r="O62" s="13" t="s">
        <v>658</v>
      </c>
      <c r="P62" s="13" t="s">
        <v>658</v>
      </c>
      <c r="Q62" s="13">
        <v>11.41</v>
      </c>
      <c r="R62" s="13">
        <v>18.86</v>
      </c>
      <c r="S62" s="13">
        <v>49.49</v>
      </c>
      <c r="T62" s="13">
        <v>75.319999999999993</v>
      </c>
      <c r="U62" s="13">
        <v>64.13</v>
      </c>
      <c r="V62" s="13">
        <v>115.7</v>
      </c>
      <c r="W62" s="13">
        <v>83.8</v>
      </c>
      <c r="X62" s="13">
        <v>80.900000000000006</v>
      </c>
    </row>
    <row r="63" spans="1:24" x14ac:dyDescent="0.2">
      <c r="A63" s="10" t="s">
        <v>340</v>
      </c>
      <c r="B63" s="10" t="s">
        <v>341</v>
      </c>
      <c r="C63" s="13" t="s">
        <v>658</v>
      </c>
      <c r="D63" s="13" t="s">
        <v>658</v>
      </c>
      <c r="E63" s="13" t="s">
        <v>658</v>
      </c>
      <c r="F63" s="13" t="s">
        <v>658</v>
      </c>
      <c r="G63" s="13" t="s">
        <v>658</v>
      </c>
      <c r="H63" s="13" t="s">
        <v>658</v>
      </c>
      <c r="I63" s="13" t="s">
        <v>658</v>
      </c>
      <c r="J63" s="13">
        <v>495.88150000000002</v>
      </c>
      <c r="K63" s="13" t="s">
        <v>658</v>
      </c>
      <c r="L63" s="13" t="s">
        <v>658</v>
      </c>
      <c r="M63" s="13" t="s">
        <v>658</v>
      </c>
      <c r="N63" s="13" t="s">
        <v>658</v>
      </c>
      <c r="O63" s="13" t="s">
        <v>658</v>
      </c>
      <c r="P63" s="13" t="s">
        <v>658</v>
      </c>
      <c r="Q63" s="13" t="s">
        <v>658</v>
      </c>
      <c r="R63" s="13" t="s">
        <v>658</v>
      </c>
      <c r="S63" s="13" t="s">
        <v>658</v>
      </c>
      <c r="T63" s="13" t="s">
        <v>658</v>
      </c>
      <c r="U63" s="13" t="s">
        <v>658</v>
      </c>
      <c r="V63" s="13" t="s">
        <v>658</v>
      </c>
      <c r="W63" s="13" t="s">
        <v>658</v>
      </c>
      <c r="X63" s="13" t="s">
        <v>658</v>
      </c>
    </row>
    <row r="64" spans="1:24" x14ac:dyDescent="0.2">
      <c r="A64" s="10" t="s">
        <v>342</v>
      </c>
      <c r="B64" s="10" t="s">
        <v>343</v>
      </c>
      <c r="C64" s="13" t="s">
        <v>658</v>
      </c>
      <c r="D64" s="13" t="s">
        <v>658</v>
      </c>
      <c r="E64" s="13" t="s">
        <v>658</v>
      </c>
      <c r="F64" s="13" t="s">
        <v>658</v>
      </c>
      <c r="G64" s="13" t="s">
        <v>658</v>
      </c>
      <c r="H64" s="13" t="s">
        <v>658</v>
      </c>
      <c r="I64" s="13" t="s">
        <v>658</v>
      </c>
      <c r="J64" s="13" t="s">
        <v>658</v>
      </c>
      <c r="K64" s="13">
        <v>193.00700000000001</v>
      </c>
      <c r="L64" s="13">
        <v>522.77949999999998</v>
      </c>
      <c r="M64" s="13">
        <v>614.04049999999995</v>
      </c>
      <c r="N64" s="13">
        <v>570.72289999999998</v>
      </c>
      <c r="O64" s="13">
        <v>765.26</v>
      </c>
      <c r="P64" s="13" t="s">
        <v>658</v>
      </c>
      <c r="Q64" s="13" t="s">
        <v>658</v>
      </c>
      <c r="R64" s="13" t="s">
        <v>658</v>
      </c>
      <c r="S64" s="13" t="s">
        <v>658</v>
      </c>
      <c r="T64" s="13" t="s">
        <v>658</v>
      </c>
      <c r="U64" s="13" t="s">
        <v>658</v>
      </c>
      <c r="V64" s="13" t="s">
        <v>658</v>
      </c>
      <c r="W64" s="13" t="s">
        <v>658</v>
      </c>
      <c r="X64" s="13" t="s">
        <v>658</v>
      </c>
    </row>
    <row r="65" spans="1:24" x14ac:dyDescent="0.2">
      <c r="A65" s="10" t="s">
        <v>344</v>
      </c>
      <c r="B65" s="10" t="s">
        <v>345</v>
      </c>
      <c r="C65" s="13">
        <v>11.5875</v>
      </c>
      <c r="D65" s="13">
        <v>7.3117000000000001</v>
      </c>
      <c r="E65" s="13">
        <v>7.0080999999999998</v>
      </c>
      <c r="F65" s="13">
        <v>7.4901</v>
      </c>
      <c r="G65" s="13" t="s">
        <v>658</v>
      </c>
      <c r="H65" s="13" t="s">
        <v>658</v>
      </c>
      <c r="I65" s="13" t="s">
        <v>658</v>
      </c>
      <c r="J65" s="13" t="s">
        <v>658</v>
      </c>
      <c r="K65" s="13" t="s">
        <v>658</v>
      </c>
      <c r="L65" s="13" t="s">
        <v>658</v>
      </c>
      <c r="M65" s="13" t="s">
        <v>658</v>
      </c>
      <c r="N65" s="13" t="s">
        <v>658</v>
      </c>
      <c r="O65" s="13" t="s">
        <v>658</v>
      </c>
      <c r="P65" s="13" t="s">
        <v>658</v>
      </c>
      <c r="Q65" s="13" t="s">
        <v>658</v>
      </c>
      <c r="R65" s="13" t="s">
        <v>658</v>
      </c>
      <c r="S65" s="13" t="s">
        <v>658</v>
      </c>
      <c r="T65" s="13" t="s">
        <v>658</v>
      </c>
      <c r="U65" s="13" t="s">
        <v>658</v>
      </c>
      <c r="V65" s="13" t="s">
        <v>658</v>
      </c>
      <c r="W65" s="13" t="s">
        <v>658</v>
      </c>
      <c r="X65" s="13" t="s">
        <v>658</v>
      </c>
    </row>
    <row r="66" spans="1:24" x14ac:dyDescent="0.2">
      <c r="A66" s="6" t="s">
        <v>346</v>
      </c>
      <c r="B66" s="6" t="s">
        <v>347</v>
      </c>
      <c r="C66" s="19">
        <v>422.21609999999998</v>
      </c>
      <c r="D66" s="19">
        <v>589.73519999999996</v>
      </c>
      <c r="E66" s="19">
        <v>713.93719999999996</v>
      </c>
      <c r="F66" s="19">
        <v>654.02729999999997</v>
      </c>
      <c r="G66" s="19">
        <v>677.38909999999998</v>
      </c>
      <c r="H66" s="19">
        <v>1425.4011</v>
      </c>
      <c r="I66" s="19">
        <v>1411.0604000000001</v>
      </c>
      <c r="J66" s="19">
        <v>1691.0245</v>
      </c>
      <c r="K66" s="19">
        <v>1786.8738000000001</v>
      </c>
      <c r="L66" s="19">
        <v>2243.1693</v>
      </c>
      <c r="M66" s="19">
        <v>3429.7986000000001</v>
      </c>
      <c r="N66" s="19">
        <v>3630.7341999999999</v>
      </c>
      <c r="O66" s="19">
        <v>3922.41</v>
      </c>
      <c r="P66" s="19">
        <v>3940.11</v>
      </c>
      <c r="Q66" s="19">
        <v>3968.1</v>
      </c>
      <c r="R66" s="19">
        <v>4663.79</v>
      </c>
      <c r="S66" s="19">
        <v>6161.06</v>
      </c>
      <c r="T66" s="19">
        <v>6414.38</v>
      </c>
      <c r="U66" s="19">
        <v>8017.73</v>
      </c>
      <c r="V66" s="19">
        <v>9174.1</v>
      </c>
      <c r="W66" s="19">
        <v>9452</v>
      </c>
      <c r="X66" s="19">
        <v>8902.4</v>
      </c>
    </row>
    <row r="67" spans="1:24" x14ac:dyDescent="0.2">
      <c r="A67" s="10" t="s">
        <v>348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 spans="1:24" x14ac:dyDescent="0.2">
      <c r="A68" s="10" t="s">
        <v>349</v>
      </c>
      <c r="B68" s="10" t="s">
        <v>350</v>
      </c>
      <c r="C68" s="13">
        <v>39.925199999999997</v>
      </c>
      <c r="D68" s="13">
        <v>39.3675</v>
      </c>
      <c r="E68" s="13">
        <v>66.982900000000001</v>
      </c>
      <c r="F68" s="13">
        <v>33.441200000000002</v>
      </c>
      <c r="G68" s="13">
        <v>39.759599999999999</v>
      </c>
      <c r="H68" s="13" t="s">
        <v>658</v>
      </c>
      <c r="I68" s="13">
        <v>61.6706</v>
      </c>
      <c r="J68" s="13" t="s">
        <v>658</v>
      </c>
      <c r="K68" s="13" t="s">
        <v>658</v>
      </c>
      <c r="L68" s="13" t="s">
        <v>658</v>
      </c>
      <c r="M68" s="13" t="s">
        <v>658</v>
      </c>
      <c r="N68" s="13" t="s">
        <v>658</v>
      </c>
      <c r="O68" s="13">
        <v>531.07000000000005</v>
      </c>
      <c r="P68" s="13">
        <v>620.97</v>
      </c>
      <c r="Q68" s="13">
        <v>697.74</v>
      </c>
      <c r="R68" s="13">
        <v>742.27</v>
      </c>
      <c r="S68" s="13">
        <v>897.3</v>
      </c>
      <c r="T68" s="13">
        <v>895.39</v>
      </c>
      <c r="U68" s="13">
        <v>998.99</v>
      </c>
      <c r="V68" s="13">
        <v>1134.4000000000001</v>
      </c>
      <c r="W68" s="13">
        <v>1006</v>
      </c>
      <c r="X68" s="13">
        <v>1384.4</v>
      </c>
    </row>
    <row r="69" spans="1:24" x14ac:dyDescent="0.2">
      <c r="A69" s="10" t="s">
        <v>351</v>
      </c>
      <c r="B69" s="10" t="s">
        <v>352</v>
      </c>
      <c r="C69" s="13">
        <v>20</v>
      </c>
      <c r="D69" s="13" t="s">
        <v>658</v>
      </c>
      <c r="E69" s="13" t="s">
        <v>658</v>
      </c>
      <c r="F69" s="13" t="s">
        <v>658</v>
      </c>
      <c r="G69" s="13" t="s">
        <v>658</v>
      </c>
      <c r="H69" s="13">
        <v>0.58360000000000001</v>
      </c>
      <c r="I69" s="13" t="s">
        <v>658</v>
      </c>
      <c r="J69" s="13" t="s">
        <v>658</v>
      </c>
      <c r="K69" s="13" t="s">
        <v>658</v>
      </c>
      <c r="L69" s="13" t="s">
        <v>658</v>
      </c>
      <c r="M69" s="13" t="s">
        <v>658</v>
      </c>
      <c r="N69" s="13" t="s">
        <v>658</v>
      </c>
      <c r="O69" s="13" t="s">
        <v>658</v>
      </c>
      <c r="P69" s="13" t="s">
        <v>658</v>
      </c>
      <c r="Q69" s="13" t="s">
        <v>658</v>
      </c>
      <c r="R69" s="13" t="s">
        <v>658</v>
      </c>
      <c r="S69" s="13" t="s">
        <v>658</v>
      </c>
      <c r="T69" s="13" t="s">
        <v>658</v>
      </c>
      <c r="U69" s="13" t="s">
        <v>658</v>
      </c>
      <c r="V69" s="13" t="s">
        <v>658</v>
      </c>
      <c r="W69" s="13" t="s">
        <v>658</v>
      </c>
      <c r="X69" s="13" t="s">
        <v>658</v>
      </c>
    </row>
    <row r="70" spans="1:24" x14ac:dyDescent="0.2">
      <c r="A70" s="10" t="s">
        <v>353</v>
      </c>
      <c r="B70" s="10" t="s">
        <v>354</v>
      </c>
      <c r="C70" s="13" t="s">
        <v>658</v>
      </c>
      <c r="D70" s="13" t="s">
        <v>658</v>
      </c>
      <c r="E70" s="13" t="s">
        <v>658</v>
      </c>
      <c r="F70" s="13" t="s">
        <v>658</v>
      </c>
      <c r="G70" s="13" t="s">
        <v>658</v>
      </c>
      <c r="H70" s="13" t="s">
        <v>658</v>
      </c>
      <c r="I70" s="13" t="s">
        <v>658</v>
      </c>
      <c r="J70" s="13">
        <v>100.75830000000001</v>
      </c>
      <c r="K70" s="13">
        <v>470.9742</v>
      </c>
      <c r="L70" s="13">
        <v>390.0385</v>
      </c>
      <c r="M70" s="13">
        <v>355.435</v>
      </c>
      <c r="N70" s="13">
        <v>379.66550000000001</v>
      </c>
      <c r="O70" s="13">
        <v>390.37</v>
      </c>
      <c r="P70" s="13">
        <v>209.11</v>
      </c>
      <c r="Q70" s="13">
        <v>657.95</v>
      </c>
      <c r="R70" s="13">
        <v>358.79</v>
      </c>
      <c r="S70" s="13">
        <v>964.64</v>
      </c>
      <c r="T70" s="13">
        <v>0</v>
      </c>
      <c r="U70" s="13">
        <v>480</v>
      </c>
      <c r="V70" s="13">
        <v>0</v>
      </c>
      <c r="W70" s="13" t="s">
        <v>658</v>
      </c>
      <c r="X70" s="13">
        <v>211.5</v>
      </c>
    </row>
    <row r="71" spans="1:24" x14ac:dyDescent="0.2">
      <c r="A71" s="10" t="s">
        <v>355</v>
      </c>
      <c r="B71" s="10" t="s">
        <v>356</v>
      </c>
      <c r="C71" s="13" t="s">
        <v>658</v>
      </c>
      <c r="D71" s="13" t="s">
        <v>658</v>
      </c>
      <c r="E71" s="13" t="s">
        <v>658</v>
      </c>
      <c r="F71" s="13" t="s">
        <v>658</v>
      </c>
      <c r="G71" s="13" t="s">
        <v>658</v>
      </c>
      <c r="H71" s="13">
        <v>390.91919999999999</v>
      </c>
      <c r="I71" s="13" t="s">
        <v>658</v>
      </c>
      <c r="J71" s="13">
        <v>215.79069999999999</v>
      </c>
      <c r="K71" s="13">
        <v>211.4545</v>
      </c>
      <c r="L71" s="13">
        <v>128.5129</v>
      </c>
      <c r="M71" s="13">
        <v>101.66630000000001</v>
      </c>
      <c r="N71" s="13">
        <v>237.13900000000001</v>
      </c>
      <c r="O71" s="13">
        <v>348.63</v>
      </c>
      <c r="P71" s="13">
        <v>488.76</v>
      </c>
      <c r="Q71" s="13">
        <v>207.65</v>
      </c>
      <c r="R71" s="13">
        <v>376.39</v>
      </c>
      <c r="S71" s="13">
        <v>446.36</v>
      </c>
      <c r="T71" s="13">
        <v>422.1</v>
      </c>
      <c r="U71" s="13">
        <v>480.83</v>
      </c>
      <c r="V71" s="13">
        <v>368.3</v>
      </c>
      <c r="W71" s="13">
        <v>374.6</v>
      </c>
      <c r="X71" s="13">
        <v>579.9</v>
      </c>
    </row>
    <row r="72" spans="1:24" x14ac:dyDescent="0.2">
      <c r="A72" s="10" t="s">
        <v>357</v>
      </c>
      <c r="B72" s="10" t="s">
        <v>358</v>
      </c>
      <c r="C72" s="13">
        <v>16.766200000000001</v>
      </c>
      <c r="D72" s="13">
        <v>23.8902</v>
      </c>
      <c r="E72" s="13">
        <v>31.6052</v>
      </c>
      <c r="F72" s="13" t="s">
        <v>658</v>
      </c>
      <c r="G72" s="13" t="s">
        <v>658</v>
      </c>
      <c r="H72" s="13" t="s">
        <v>658</v>
      </c>
      <c r="I72" s="13" t="s">
        <v>658</v>
      </c>
      <c r="J72" s="13" t="s">
        <v>658</v>
      </c>
      <c r="K72" s="13" t="s">
        <v>658</v>
      </c>
      <c r="L72" s="13" t="s">
        <v>658</v>
      </c>
      <c r="M72" s="13">
        <v>26.0715</v>
      </c>
      <c r="N72" s="13">
        <v>0</v>
      </c>
      <c r="O72" s="13" t="s">
        <v>658</v>
      </c>
      <c r="P72" s="13" t="s">
        <v>658</v>
      </c>
      <c r="Q72" s="13" t="s">
        <v>658</v>
      </c>
      <c r="R72" s="13" t="s">
        <v>658</v>
      </c>
      <c r="S72" s="13" t="s">
        <v>658</v>
      </c>
      <c r="T72" s="13" t="s">
        <v>658</v>
      </c>
      <c r="U72" s="13">
        <v>10.220000000000001</v>
      </c>
      <c r="V72" s="13">
        <v>78.3</v>
      </c>
      <c r="W72" s="13">
        <v>96.7</v>
      </c>
      <c r="X72" s="13">
        <v>28.2</v>
      </c>
    </row>
    <row r="73" spans="1:24" x14ac:dyDescent="0.2">
      <c r="A73" s="10" t="s">
        <v>359</v>
      </c>
      <c r="B73" s="10" t="s">
        <v>360</v>
      </c>
      <c r="C73" s="13" t="s">
        <v>658</v>
      </c>
      <c r="D73" s="13" t="s">
        <v>658</v>
      </c>
      <c r="E73" s="13" t="s">
        <v>658</v>
      </c>
      <c r="F73" s="13" t="s">
        <v>658</v>
      </c>
      <c r="G73" s="13" t="s">
        <v>658</v>
      </c>
      <c r="H73" s="13">
        <v>159.1123</v>
      </c>
      <c r="I73" s="13" t="s">
        <v>658</v>
      </c>
      <c r="J73" s="13" t="s">
        <v>658</v>
      </c>
      <c r="K73" s="13" t="s">
        <v>658</v>
      </c>
      <c r="L73" s="13" t="s">
        <v>658</v>
      </c>
      <c r="M73" s="13" t="s">
        <v>658</v>
      </c>
      <c r="N73" s="13" t="s">
        <v>658</v>
      </c>
      <c r="O73" s="13">
        <v>92.31</v>
      </c>
      <c r="P73" s="13">
        <v>31.59</v>
      </c>
      <c r="Q73" s="13">
        <v>37.880000000000003</v>
      </c>
      <c r="R73" s="13">
        <v>36.86</v>
      </c>
      <c r="S73" s="13">
        <v>68.459999999999994</v>
      </c>
      <c r="T73" s="13">
        <v>90.94</v>
      </c>
      <c r="U73" s="13">
        <v>86.87</v>
      </c>
      <c r="V73" s="13">
        <v>139.30000000000001</v>
      </c>
      <c r="W73" s="13">
        <v>133.19999999999999</v>
      </c>
      <c r="X73" s="13">
        <v>255.4</v>
      </c>
    </row>
    <row r="74" spans="1:24" x14ac:dyDescent="0.2">
      <c r="A74" s="10" t="s">
        <v>361</v>
      </c>
      <c r="B74" s="10" t="s">
        <v>362</v>
      </c>
      <c r="C74" s="13" t="s">
        <v>658</v>
      </c>
      <c r="D74" s="13" t="s">
        <v>658</v>
      </c>
      <c r="E74" s="13" t="s">
        <v>658</v>
      </c>
      <c r="F74" s="13" t="s">
        <v>658</v>
      </c>
      <c r="G74" s="13" t="s">
        <v>658</v>
      </c>
      <c r="H74" s="13" t="s">
        <v>658</v>
      </c>
      <c r="I74" s="13" t="s">
        <v>658</v>
      </c>
      <c r="J74" s="13">
        <v>56.753799999999998</v>
      </c>
      <c r="K74" s="13">
        <v>280.51609999999999</v>
      </c>
      <c r="L74" s="13">
        <v>475.60840000000002</v>
      </c>
      <c r="M74" s="13">
        <v>663.48940000000005</v>
      </c>
      <c r="N74" s="13">
        <v>530.33450000000005</v>
      </c>
      <c r="O74" s="13" t="s">
        <v>658</v>
      </c>
      <c r="P74" s="13" t="s">
        <v>658</v>
      </c>
      <c r="Q74" s="13" t="s">
        <v>658</v>
      </c>
      <c r="R74" s="13" t="s">
        <v>658</v>
      </c>
      <c r="S74" s="13" t="s">
        <v>658</v>
      </c>
      <c r="T74" s="13" t="s">
        <v>658</v>
      </c>
      <c r="U74" s="13" t="s">
        <v>658</v>
      </c>
      <c r="V74" s="13" t="s">
        <v>658</v>
      </c>
      <c r="W74" s="13" t="s">
        <v>658</v>
      </c>
      <c r="X74" s="13" t="s">
        <v>658</v>
      </c>
    </row>
    <row r="75" spans="1:24" x14ac:dyDescent="0.2">
      <c r="A75" s="10" t="s">
        <v>363</v>
      </c>
      <c r="B75" s="10" t="s">
        <v>364</v>
      </c>
      <c r="C75" s="13" t="s">
        <v>658</v>
      </c>
      <c r="D75" s="13" t="s">
        <v>658</v>
      </c>
      <c r="E75" s="13" t="s">
        <v>658</v>
      </c>
      <c r="F75" s="13" t="s">
        <v>658</v>
      </c>
      <c r="G75" s="13" t="s">
        <v>658</v>
      </c>
      <c r="H75" s="13" t="s">
        <v>658</v>
      </c>
      <c r="I75" s="13" t="s">
        <v>658</v>
      </c>
      <c r="J75" s="13" t="s">
        <v>658</v>
      </c>
      <c r="K75" s="13" t="s">
        <v>658</v>
      </c>
      <c r="L75" s="13" t="s">
        <v>658</v>
      </c>
      <c r="M75" s="13" t="s">
        <v>658</v>
      </c>
      <c r="N75" s="13" t="s">
        <v>658</v>
      </c>
      <c r="O75" s="13" t="s">
        <v>658</v>
      </c>
      <c r="P75" s="13" t="s">
        <v>658</v>
      </c>
      <c r="Q75" s="13">
        <v>19.91</v>
      </c>
      <c r="R75" s="13">
        <v>126.77</v>
      </c>
      <c r="S75" s="13">
        <v>95.21</v>
      </c>
      <c r="T75" s="13">
        <v>41.21</v>
      </c>
      <c r="U75" s="13">
        <v>17.27</v>
      </c>
      <c r="V75" s="13">
        <v>55.8</v>
      </c>
      <c r="W75" s="13">
        <v>219.7</v>
      </c>
      <c r="X75" s="13">
        <v>272.89999999999998</v>
      </c>
    </row>
    <row r="76" spans="1:24" x14ac:dyDescent="0.2">
      <c r="A76" s="10" t="s">
        <v>365</v>
      </c>
      <c r="B76" s="10" t="s">
        <v>366</v>
      </c>
      <c r="C76" s="13" t="s">
        <v>658</v>
      </c>
      <c r="D76" s="13" t="s">
        <v>658</v>
      </c>
      <c r="E76" s="13" t="s">
        <v>658</v>
      </c>
      <c r="F76" s="13" t="s">
        <v>658</v>
      </c>
      <c r="G76" s="13" t="s">
        <v>658</v>
      </c>
      <c r="H76" s="13" t="s">
        <v>658</v>
      </c>
      <c r="I76" s="13" t="s">
        <v>658</v>
      </c>
      <c r="J76" s="13">
        <v>100.75830000000001</v>
      </c>
      <c r="K76" s="13" t="s">
        <v>658</v>
      </c>
      <c r="L76" s="13" t="s">
        <v>658</v>
      </c>
      <c r="M76" s="13" t="s">
        <v>658</v>
      </c>
      <c r="N76" s="13" t="s">
        <v>658</v>
      </c>
      <c r="O76" s="13" t="s">
        <v>658</v>
      </c>
      <c r="P76" s="13" t="s">
        <v>658</v>
      </c>
      <c r="Q76" s="13" t="s">
        <v>658</v>
      </c>
      <c r="R76" s="13" t="s">
        <v>658</v>
      </c>
      <c r="S76" s="13" t="s">
        <v>658</v>
      </c>
      <c r="T76" s="13" t="s">
        <v>658</v>
      </c>
      <c r="U76" s="13" t="s">
        <v>658</v>
      </c>
      <c r="V76" s="13" t="s">
        <v>658</v>
      </c>
      <c r="W76" s="13" t="s">
        <v>658</v>
      </c>
      <c r="X76" s="13" t="s">
        <v>658</v>
      </c>
    </row>
    <row r="77" spans="1:24" x14ac:dyDescent="0.2">
      <c r="A77" s="10" t="s">
        <v>367</v>
      </c>
      <c r="B77" s="10" t="s">
        <v>368</v>
      </c>
      <c r="C77" s="13">
        <v>112.6036</v>
      </c>
      <c r="D77" s="13">
        <v>112.0605</v>
      </c>
      <c r="E77" s="13">
        <v>143.41300000000001</v>
      </c>
      <c r="F77" s="13">
        <v>178.53739999999999</v>
      </c>
      <c r="G77" s="13">
        <v>142.8871</v>
      </c>
      <c r="H77" s="13" t="s">
        <v>658</v>
      </c>
      <c r="I77" s="13">
        <v>260.41860000000003</v>
      </c>
      <c r="J77" s="13" t="s">
        <v>658</v>
      </c>
      <c r="K77" s="13" t="s">
        <v>658</v>
      </c>
      <c r="L77" s="13" t="s">
        <v>658</v>
      </c>
      <c r="M77" s="13" t="s">
        <v>658</v>
      </c>
      <c r="N77" s="13" t="s">
        <v>658</v>
      </c>
      <c r="O77" s="13" t="s">
        <v>658</v>
      </c>
      <c r="P77" s="13" t="s">
        <v>658</v>
      </c>
      <c r="Q77" s="13" t="s">
        <v>658</v>
      </c>
      <c r="R77" s="13" t="s">
        <v>658</v>
      </c>
      <c r="S77" s="13" t="s">
        <v>658</v>
      </c>
      <c r="T77" s="13" t="s">
        <v>658</v>
      </c>
      <c r="U77" s="13" t="s">
        <v>658</v>
      </c>
      <c r="V77" s="13" t="s">
        <v>658</v>
      </c>
      <c r="W77" s="13" t="s">
        <v>658</v>
      </c>
      <c r="X77" s="13" t="s">
        <v>658</v>
      </c>
    </row>
    <row r="78" spans="1:24" x14ac:dyDescent="0.2">
      <c r="A78" s="10" t="s">
        <v>369</v>
      </c>
      <c r="B78" s="10" t="s">
        <v>370</v>
      </c>
      <c r="C78" s="13">
        <v>247.07470000000001</v>
      </c>
      <c r="D78" s="13">
        <v>395.9171</v>
      </c>
      <c r="E78" s="13">
        <v>481.02719999999999</v>
      </c>
      <c r="F78" s="13">
        <v>462.13499999999999</v>
      </c>
      <c r="G78" s="13">
        <v>476.97019999999998</v>
      </c>
      <c r="H78" s="13">
        <v>875.36969999999997</v>
      </c>
      <c r="I78" s="13">
        <v>999.85450000000003</v>
      </c>
      <c r="J78" s="13" t="s">
        <v>658</v>
      </c>
      <c r="K78" s="13" t="s">
        <v>658</v>
      </c>
      <c r="L78" s="13" t="s">
        <v>658</v>
      </c>
      <c r="M78" s="13" t="s">
        <v>658</v>
      </c>
      <c r="N78" s="13" t="s">
        <v>658</v>
      </c>
      <c r="O78" s="13" t="s">
        <v>658</v>
      </c>
      <c r="P78" s="13" t="s">
        <v>658</v>
      </c>
      <c r="Q78" s="13" t="s">
        <v>658</v>
      </c>
      <c r="R78" s="13" t="s">
        <v>658</v>
      </c>
      <c r="S78" s="13" t="s">
        <v>658</v>
      </c>
      <c r="T78" s="13" t="s">
        <v>658</v>
      </c>
      <c r="U78" s="13" t="s">
        <v>658</v>
      </c>
      <c r="V78" s="13" t="s">
        <v>658</v>
      </c>
      <c r="W78" s="13" t="s">
        <v>658</v>
      </c>
      <c r="X78" s="13" t="s">
        <v>658</v>
      </c>
    </row>
    <row r="79" spans="1:24" x14ac:dyDescent="0.2">
      <c r="A79" s="10" t="s">
        <v>371</v>
      </c>
      <c r="B79" s="10" t="s">
        <v>372</v>
      </c>
      <c r="C79" s="13">
        <v>770.2758</v>
      </c>
      <c r="D79" s="13">
        <v>1679.5708</v>
      </c>
      <c r="E79" s="13">
        <v>1772.567</v>
      </c>
      <c r="F79" s="13">
        <v>1845.4072000000001</v>
      </c>
      <c r="G79" s="13">
        <v>1907.2021999999999</v>
      </c>
      <c r="H79" s="13">
        <v>2586.6167999999998</v>
      </c>
      <c r="I79" s="13">
        <v>2444.0547000000001</v>
      </c>
      <c r="J79" s="13" t="s">
        <v>658</v>
      </c>
      <c r="K79" s="13" t="s">
        <v>658</v>
      </c>
      <c r="L79" s="13" t="s">
        <v>658</v>
      </c>
      <c r="M79" s="13" t="s">
        <v>658</v>
      </c>
      <c r="N79" s="13" t="s">
        <v>658</v>
      </c>
      <c r="O79" s="13" t="s">
        <v>658</v>
      </c>
      <c r="P79" s="13" t="s">
        <v>658</v>
      </c>
      <c r="Q79" s="13" t="s">
        <v>658</v>
      </c>
      <c r="R79" s="13" t="s">
        <v>658</v>
      </c>
      <c r="S79" s="13" t="s">
        <v>658</v>
      </c>
      <c r="T79" s="13" t="s">
        <v>658</v>
      </c>
      <c r="U79" s="13" t="s">
        <v>658</v>
      </c>
      <c r="V79" s="13" t="s">
        <v>658</v>
      </c>
      <c r="W79" s="13" t="s">
        <v>658</v>
      </c>
      <c r="X79" s="13" t="s">
        <v>658</v>
      </c>
    </row>
    <row r="80" spans="1:24" x14ac:dyDescent="0.2">
      <c r="A80" s="6" t="s">
        <v>373</v>
      </c>
      <c r="B80" s="6" t="s">
        <v>374</v>
      </c>
      <c r="C80" s="19">
        <v>175.1414</v>
      </c>
      <c r="D80" s="19">
        <v>193.81809999999999</v>
      </c>
      <c r="E80" s="19">
        <v>232.90989999999999</v>
      </c>
      <c r="F80" s="19">
        <v>191.89230000000001</v>
      </c>
      <c r="G80" s="19">
        <v>200.41900000000001</v>
      </c>
      <c r="H80" s="19">
        <v>550.03150000000005</v>
      </c>
      <c r="I80" s="19">
        <v>411.20589999999999</v>
      </c>
      <c r="J80" s="19">
        <v>432.36099999999999</v>
      </c>
      <c r="K80" s="19">
        <v>1025.1918000000001</v>
      </c>
      <c r="L80" s="19">
        <v>1113.6612</v>
      </c>
      <c r="M80" s="19">
        <v>1300.4105999999999</v>
      </c>
      <c r="N80" s="19">
        <v>1227.3353999999999</v>
      </c>
      <c r="O80" s="19">
        <v>1362.38</v>
      </c>
      <c r="P80" s="19">
        <v>1350.43</v>
      </c>
      <c r="Q80" s="19">
        <v>1621.13</v>
      </c>
      <c r="R80" s="19">
        <v>1641.08</v>
      </c>
      <c r="S80" s="19">
        <v>2581.08</v>
      </c>
      <c r="T80" s="19">
        <v>1545.32</v>
      </c>
      <c r="U80" s="19">
        <v>2159.75</v>
      </c>
      <c r="V80" s="19">
        <v>1860.3</v>
      </c>
      <c r="W80" s="19">
        <v>1929.4</v>
      </c>
      <c r="X80" s="19">
        <v>2891</v>
      </c>
    </row>
    <row r="81" spans="1:24" x14ac:dyDescent="0.2">
      <c r="A81" s="10" t="s">
        <v>375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spans="1:24" x14ac:dyDescent="0.2">
      <c r="A82" s="10" t="s">
        <v>320</v>
      </c>
      <c r="B82" s="10" t="s">
        <v>376</v>
      </c>
      <c r="C82" s="13" t="s">
        <v>658</v>
      </c>
      <c r="D82" s="13" t="s">
        <v>658</v>
      </c>
      <c r="E82" s="13" t="s">
        <v>658</v>
      </c>
      <c r="F82" s="13" t="s">
        <v>658</v>
      </c>
      <c r="G82" s="13" t="s">
        <v>658</v>
      </c>
      <c r="H82" s="13" t="s">
        <v>658</v>
      </c>
      <c r="I82" s="13" t="s">
        <v>658</v>
      </c>
      <c r="J82" s="13" t="s">
        <v>658</v>
      </c>
      <c r="K82" s="13" t="s">
        <v>658</v>
      </c>
      <c r="L82" s="13" t="s">
        <v>658</v>
      </c>
      <c r="M82" s="13" t="s">
        <v>658</v>
      </c>
      <c r="N82" s="13" t="s">
        <v>658</v>
      </c>
      <c r="O82" s="13" t="s">
        <v>658</v>
      </c>
      <c r="P82" s="13">
        <v>696.25</v>
      </c>
      <c r="Q82" s="13">
        <v>843.49</v>
      </c>
      <c r="R82" s="13">
        <v>734.22</v>
      </c>
      <c r="S82" s="13">
        <v>1987.24</v>
      </c>
      <c r="T82" s="13">
        <v>1125.26</v>
      </c>
      <c r="U82" s="13">
        <v>2073.46</v>
      </c>
      <c r="V82" s="13">
        <v>1538.8</v>
      </c>
      <c r="W82" s="13">
        <v>1312.5</v>
      </c>
      <c r="X82" s="13">
        <v>2279.6</v>
      </c>
    </row>
    <row r="83" spans="1:24" x14ac:dyDescent="0.2">
      <c r="A83" s="10" t="s">
        <v>322</v>
      </c>
      <c r="B83" s="10" t="s">
        <v>377</v>
      </c>
      <c r="C83" s="13" t="s">
        <v>658</v>
      </c>
      <c r="D83" s="13" t="s">
        <v>658</v>
      </c>
      <c r="E83" s="13" t="s">
        <v>658</v>
      </c>
      <c r="F83" s="13" t="s">
        <v>658</v>
      </c>
      <c r="G83" s="13" t="s">
        <v>658</v>
      </c>
      <c r="H83" s="13" t="s">
        <v>658</v>
      </c>
      <c r="I83" s="13" t="s">
        <v>658</v>
      </c>
      <c r="J83" s="13">
        <v>569.86379999999997</v>
      </c>
      <c r="K83" s="13">
        <v>890.74289999999996</v>
      </c>
      <c r="L83" s="13">
        <v>1074.3911000000001</v>
      </c>
      <c r="M83" s="13">
        <v>1519.2729999999999</v>
      </c>
      <c r="N83" s="13">
        <v>1647.6352999999999</v>
      </c>
      <c r="O83" s="13">
        <v>1849.52</v>
      </c>
      <c r="P83" s="13">
        <v>1914.8</v>
      </c>
      <c r="Q83" s="13">
        <v>2047.88</v>
      </c>
      <c r="R83" s="13">
        <v>2461.37</v>
      </c>
      <c r="S83" s="13">
        <v>2724.51</v>
      </c>
      <c r="T83" s="13">
        <v>1835.01</v>
      </c>
      <c r="U83" s="13">
        <v>2445.04</v>
      </c>
      <c r="V83" s="13">
        <v>2689.4</v>
      </c>
      <c r="W83" s="13">
        <v>2863.4</v>
      </c>
      <c r="X83" s="13">
        <v>3018.2</v>
      </c>
    </row>
    <row r="84" spans="1:24" x14ac:dyDescent="0.2">
      <c r="A84" s="10" t="s">
        <v>378</v>
      </c>
      <c r="B84" s="10" t="s">
        <v>379</v>
      </c>
      <c r="C84" s="13" t="s">
        <v>658</v>
      </c>
      <c r="D84" s="13" t="s">
        <v>658</v>
      </c>
      <c r="E84" s="13" t="s">
        <v>658</v>
      </c>
      <c r="F84" s="13" t="s">
        <v>658</v>
      </c>
      <c r="G84" s="13" t="s">
        <v>658</v>
      </c>
      <c r="H84" s="13" t="s">
        <v>658</v>
      </c>
      <c r="I84" s="13" t="s">
        <v>658</v>
      </c>
      <c r="J84" s="13" t="s">
        <v>658</v>
      </c>
      <c r="K84" s="13" t="s">
        <v>658</v>
      </c>
      <c r="L84" s="13" t="s">
        <v>658</v>
      </c>
      <c r="M84" s="13" t="s">
        <v>658</v>
      </c>
      <c r="N84" s="13" t="s">
        <v>658</v>
      </c>
      <c r="O84" s="13">
        <v>140.99</v>
      </c>
      <c r="P84" s="13">
        <v>118.64</v>
      </c>
      <c r="Q84" s="13">
        <v>119.69</v>
      </c>
      <c r="R84" s="13">
        <v>139.22999999999999</v>
      </c>
      <c r="S84" s="13">
        <v>150.09</v>
      </c>
      <c r="T84" s="13">
        <v>147.75</v>
      </c>
      <c r="U84" s="13">
        <v>151.94</v>
      </c>
      <c r="V84" s="13">
        <v>220.9</v>
      </c>
      <c r="W84" s="13">
        <v>247</v>
      </c>
      <c r="X84" s="13">
        <v>292.2</v>
      </c>
    </row>
    <row r="85" spans="1:24" x14ac:dyDescent="0.2">
      <c r="A85" s="10" t="s">
        <v>380</v>
      </c>
      <c r="B85" s="10" t="s">
        <v>381</v>
      </c>
      <c r="C85" s="13">
        <v>8.2199999999999995E-2</v>
      </c>
      <c r="D85" s="13">
        <v>0.69059999999999999</v>
      </c>
      <c r="E85" s="13">
        <v>0.83340000000000003</v>
      </c>
      <c r="F85" s="13">
        <v>62.589399999999998</v>
      </c>
      <c r="G85" s="13">
        <v>1.4662999999999999</v>
      </c>
      <c r="H85" s="13">
        <v>13.536</v>
      </c>
      <c r="I85" s="13">
        <v>1.893</v>
      </c>
      <c r="J85" s="13">
        <v>13.116199999999999</v>
      </c>
      <c r="K85" s="13">
        <v>10.118399999999999</v>
      </c>
      <c r="L85" s="13">
        <v>7.7708000000000004</v>
      </c>
      <c r="M85" s="13">
        <v>1.6025</v>
      </c>
      <c r="N85" s="13">
        <v>1.6051</v>
      </c>
      <c r="O85" s="13">
        <v>12.74</v>
      </c>
      <c r="P85" s="13" t="s">
        <v>658</v>
      </c>
      <c r="Q85" s="13" t="s">
        <v>658</v>
      </c>
      <c r="R85" s="13" t="s">
        <v>658</v>
      </c>
      <c r="S85" s="13" t="s">
        <v>658</v>
      </c>
      <c r="T85" s="13" t="s">
        <v>658</v>
      </c>
      <c r="U85" s="13" t="s">
        <v>658</v>
      </c>
      <c r="V85" s="13" t="s">
        <v>658</v>
      </c>
      <c r="W85" s="13" t="s">
        <v>658</v>
      </c>
      <c r="X85" s="13" t="s">
        <v>658</v>
      </c>
    </row>
    <row r="86" spans="1:24" x14ac:dyDescent="0.2">
      <c r="A86" s="10" t="s">
        <v>328</v>
      </c>
      <c r="B86" s="10" t="s">
        <v>382</v>
      </c>
      <c r="C86" s="13" t="s">
        <v>658</v>
      </c>
      <c r="D86" s="13" t="s">
        <v>658</v>
      </c>
      <c r="E86" s="13" t="s">
        <v>658</v>
      </c>
      <c r="F86" s="13" t="s">
        <v>658</v>
      </c>
      <c r="G86" s="13" t="s">
        <v>658</v>
      </c>
      <c r="H86" s="13" t="s">
        <v>658</v>
      </c>
      <c r="I86" s="13" t="s">
        <v>658</v>
      </c>
      <c r="J86" s="13" t="s">
        <v>658</v>
      </c>
      <c r="K86" s="13" t="s">
        <v>658</v>
      </c>
      <c r="L86" s="13" t="s">
        <v>658</v>
      </c>
      <c r="M86" s="13" t="s">
        <v>658</v>
      </c>
      <c r="N86" s="13" t="s">
        <v>658</v>
      </c>
      <c r="O86" s="13">
        <v>386.04</v>
      </c>
      <c r="P86" s="13">
        <v>503.43</v>
      </c>
      <c r="Q86" s="13">
        <v>96.21</v>
      </c>
      <c r="R86" s="13">
        <v>124.72</v>
      </c>
      <c r="S86" s="13">
        <v>140.28</v>
      </c>
      <c r="T86" s="13">
        <v>135.88</v>
      </c>
      <c r="U86" s="13">
        <v>94.38</v>
      </c>
      <c r="V86" s="13">
        <v>176.4</v>
      </c>
      <c r="W86" s="13">
        <v>182.2</v>
      </c>
      <c r="X86" s="13">
        <v>282.60000000000002</v>
      </c>
    </row>
    <row r="87" spans="1:24" x14ac:dyDescent="0.2">
      <c r="A87" s="10" t="s">
        <v>283</v>
      </c>
      <c r="B87" s="10" t="s">
        <v>383</v>
      </c>
      <c r="C87" s="13" t="s">
        <v>658</v>
      </c>
      <c r="D87" s="13" t="s">
        <v>658</v>
      </c>
      <c r="E87" s="13" t="s">
        <v>658</v>
      </c>
      <c r="F87" s="13" t="s">
        <v>658</v>
      </c>
      <c r="G87" s="13" t="s">
        <v>658</v>
      </c>
      <c r="H87" s="13" t="s">
        <v>658</v>
      </c>
      <c r="I87" s="13" t="s">
        <v>658</v>
      </c>
      <c r="J87" s="13" t="s">
        <v>658</v>
      </c>
      <c r="K87" s="13">
        <v>255.11930000000001</v>
      </c>
      <c r="L87" s="13">
        <v>107.0309</v>
      </c>
      <c r="M87" s="13" t="s">
        <v>658</v>
      </c>
      <c r="N87" s="13" t="s">
        <v>658</v>
      </c>
      <c r="O87" s="13">
        <v>8.0500000000000007</v>
      </c>
      <c r="P87" s="13">
        <v>10</v>
      </c>
      <c r="Q87" s="13">
        <v>11.89</v>
      </c>
      <c r="R87" s="13" t="s">
        <v>658</v>
      </c>
      <c r="S87" s="13" t="s">
        <v>658</v>
      </c>
      <c r="T87" s="13" t="s">
        <v>658</v>
      </c>
      <c r="U87" s="13" t="s">
        <v>658</v>
      </c>
      <c r="V87" s="13" t="s">
        <v>658</v>
      </c>
      <c r="W87" s="13" t="s">
        <v>658</v>
      </c>
      <c r="X87" s="13" t="s">
        <v>658</v>
      </c>
    </row>
    <row r="88" spans="1:24" x14ac:dyDescent="0.2">
      <c r="A88" s="10" t="s">
        <v>384</v>
      </c>
      <c r="B88" s="10" t="s">
        <v>385</v>
      </c>
      <c r="C88" s="13" t="s">
        <v>658</v>
      </c>
      <c r="D88" s="13" t="s">
        <v>658</v>
      </c>
      <c r="E88" s="13" t="s">
        <v>658</v>
      </c>
      <c r="F88" s="13" t="s">
        <v>658</v>
      </c>
      <c r="G88" s="13" t="s">
        <v>658</v>
      </c>
      <c r="H88" s="13" t="s">
        <v>658</v>
      </c>
      <c r="I88" s="13" t="s">
        <v>658</v>
      </c>
      <c r="J88" s="13" t="s">
        <v>658</v>
      </c>
      <c r="K88" s="13" t="s">
        <v>658</v>
      </c>
      <c r="L88" s="13" t="s">
        <v>658</v>
      </c>
      <c r="M88" s="13" t="s">
        <v>658</v>
      </c>
      <c r="N88" s="13" t="s">
        <v>658</v>
      </c>
      <c r="O88" s="13" t="s">
        <v>658</v>
      </c>
      <c r="P88" s="13">
        <v>607.4</v>
      </c>
      <c r="Q88" s="13">
        <v>302.85000000000002</v>
      </c>
      <c r="R88" s="13">
        <v>302.85000000000002</v>
      </c>
      <c r="S88" s="13">
        <v>302.85000000000002</v>
      </c>
      <c r="T88" s="13">
        <v>302.85000000000002</v>
      </c>
      <c r="U88" s="13">
        <v>302.85000000000002</v>
      </c>
      <c r="V88" s="13">
        <v>87.1</v>
      </c>
      <c r="W88" s="13">
        <v>87.1</v>
      </c>
      <c r="X88" s="13">
        <v>87.1</v>
      </c>
    </row>
    <row r="89" spans="1:24" x14ac:dyDescent="0.2">
      <c r="A89" s="10" t="s">
        <v>386</v>
      </c>
      <c r="B89" s="10" t="s">
        <v>387</v>
      </c>
      <c r="C89" s="13">
        <v>164.9237</v>
      </c>
      <c r="D89" s="13">
        <v>151.96539999999999</v>
      </c>
      <c r="E89" s="13">
        <v>152.09710000000001</v>
      </c>
      <c r="F89" s="13">
        <v>144.2544</v>
      </c>
      <c r="G89" s="13" t="s">
        <v>658</v>
      </c>
      <c r="H89" s="13" t="s">
        <v>658</v>
      </c>
      <c r="I89" s="13" t="s">
        <v>658</v>
      </c>
      <c r="J89" s="13">
        <v>125.0025</v>
      </c>
      <c r="K89" s="13">
        <v>145.04589999999999</v>
      </c>
      <c r="L89" s="13">
        <v>145.16290000000001</v>
      </c>
      <c r="M89" s="13">
        <v>163.65780000000001</v>
      </c>
      <c r="N89" s="13">
        <v>165.31280000000001</v>
      </c>
      <c r="O89" s="13">
        <v>207.6</v>
      </c>
      <c r="P89" s="13">
        <v>211.82</v>
      </c>
      <c r="Q89" s="13">
        <v>181.09</v>
      </c>
      <c r="R89" s="13">
        <v>183.95</v>
      </c>
      <c r="S89" s="13">
        <v>192.66</v>
      </c>
      <c r="T89" s="13">
        <v>192.78</v>
      </c>
      <c r="U89" s="13">
        <v>178.18</v>
      </c>
      <c r="V89" s="13">
        <v>175.8</v>
      </c>
      <c r="W89" s="13">
        <v>175.8</v>
      </c>
      <c r="X89" s="13">
        <v>175.8</v>
      </c>
    </row>
    <row r="90" spans="1:24" x14ac:dyDescent="0.2">
      <c r="A90" s="10" t="s">
        <v>388</v>
      </c>
      <c r="B90" s="10" t="s">
        <v>389</v>
      </c>
      <c r="C90" s="13" t="s">
        <v>658</v>
      </c>
      <c r="D90" s="13" t="s">
        <v>658</v>
      </c>
      <c r="E90" s="13" t="s">
        <v>658</v>
      </c>
      <c r="F90" s="13" t="s">
        <v>658</v>
      </c>
      <c r="G90" s="13" t="s">
        <v>658</v>
      </c>
      <c r="H90" s="13" t="s">
        <v>658</v>
      </c>
      <c r="I90" s="13" t="s">
        <v>658</v>
      </c>
      <c r="J90" s="13" t="s">
        <v>658</v>
      </c>
      <c r="K90" s="13" t="s">
        <v>658</v>
      </c>
      <c r="L90" s="13" t="s">
        <v>658</v>
      </c>
      <c r="M90" s="13" t="s">
        <v>658</v>
      </c>
      <c r="N90" s="13" t="s">
        <v>658</v>
      </c>
      <c r="O90" s="13">
        <v>104.64</v>
      </c>
      <c r="P90" s="13">
        <v>111.38</v>
      </c>
      <c r="Q90" s="13">
        <v>106.24</v>
      </c>
      <c r="R90" s="13">
        <v>203.21</v>
      </c>
      <c r="S90" s="13">
        <v>254.61</v>
      </c>
      <c r="T90" s="13">
        <v>271.02</v>
      </c>
      <c r="U90" s="13">
        <v>330.96</v>
      </c>
      <c r="V90" s="13">
        <v>401.8</v>
      </c>
      <c r="W90" s="13">
        <v>435.1</v>
      </c>
      <c r="X90" s="13">
        <v>492.1</v>
      </c>
    </row>
    <row r="91" spans="1:24" x14ac:dyDescent="0.2">
      <c r="A91" s="10" t="s">
        <v>285</v>
      </c>
      <c r="B91" s="10" t="s">
        <v>390</v>
      </c>
      <c r="C91" s="13" t="s">
        <v>658</v>
      </c>
      <c r="D91" s="13" t="s">
        <v>658</v>
      </c>
      <c r="E91" s="13" t="s">
        <v>658</v>
      </c>
      <c r="F91" s="13" t="s">
        <v>658</v>
      </c>
      <c r="G91" s="13" t="s">
        <v>658</v>
      </c>
      <c r="H91" s="13" t="s">
        <v>658</v>
      </c>
      <c r="I91" s="13" t="s">
        <v>658</v>
      </c>
      <c r="J91" s="13" t="s">
        <v>658</v>
      </c>
      <c r="K91" s="13" t="s">
        <v>658</v>
      </c>
      <c r="L91" s="13" t="s">
        <v>658</v>
      </c>
      <c r="M91" s="13">
        <v>109.8391</v>
      </c>
      <c r="N91" s="13">
        <v>109.6949</v>
      </c>
      <c r="O91" s="13" t="s">
        <v>658</v>
      </c>
      <c r="P91" s="13">
        <v>12.42</v>
      </c>
      <c r="Q91" s="13" t="s">
        <v>658</v>
      </c>
      <c r="R91" s="13">
        <v>9.7799999999999994</v>
      </c>
      <c r="S91" s="13">
        <v>7.33</v>
      </c>
      <c r="T91" s="13">
        <v>0</v>
      </c>
      <c r="U91" s="13">
        <v>34.340000000000003</v>
      </c>
      <c r="V91" s="13">
        <v>0</v>
      </c>
      <c r="W91" s="13">
        <v>0</v>
      </c>
      <c r="X91" s="13">
        <v>0</v>
      </c>
    </row>
    <row r="92" spans="1:24" x14ac:dyDescent="0.2">
      <c r="A92" s="10" t="s">
        <v>391</v>
      </c>
      <c r="B92" s="10" t="s">
        <v>392</v>
      </c>
      <c r="C92" s="13">
        <v>355.06630000000001</v>
      </c>
      <c r="D92" s="13">
        <v>398.79570000000001</v>
      </c>
      <c r="E92" s="13">
        <v>290.0421</v>
      </c>
      <c r="F92" s="13">
        <v>309.27170000000001</v>
      </c>
      <c r="G92" s="13" t="s">
        <v>658</v>
      </c>
      <c r="H92" s="13" t="s">
        <v>658</v>
      </c>
      <c r="I92" s="13" t="s">
        <v>658</v>
      </c>
      <c r="J92" s="13">
        <v>575.51760000000002</v>
      </c>
      <c r="K92" s="13">
        <v>531.01750000000004</v>
      </c>
      <c r="L92" s="13">
        <v>600.1037</v>
      </c>
      <c r="M92" s="13">
        <v>679.03229999999996</v>
      </c>
      <c r="N92" s="13">
        <v>744.50670000000002</v>
      </c>
      <c r="O92" s="13">
        <v>2084.54</v>
      </c>
      <c r="P92" s="13">
        <v>2151.66</v>
      </c>
      <c r="Q92" s="13">
        <v>1351.68</v>
      </c>
      <c r="R92" s="13">
        <v>1613.02</v>
      </c>
      <c r="S92" s="13">
        <v>1758.76</v>
      </c>
      <c r="T92" s="13">
        <v>1886.44</v>
      </c>
      <c r="U92" s="13">
        <v>2047.12</v>
      </c>
      <c r="V92" s="13">
        <v>2229.6999999999998</v>
      </c>
      <c r="W92" s="13">
        <v>2398.8000000000002</v>
      </c>
      <c r="X92" s="13">
        <v>3060.5</v>
      </c>
    </row>
    <row r="93" spans="1:24" x14ac:dyDescent="0.2">
      <c r="A93" s="10" t="s">
        <v>313</v>
      </c>
      <c r="B93" s="10" t="s">
        <v>393</v>
      </c>
      <c r="C93" s="13">
        <v>289.63799999999998</v>
      </c>
      <c r="D93" s="13" t="s">
        <v>658</v>
      </c>
      <c r="E93" s="13">
        <v>321.23899999999998</v>
      </c>
      <c r="F93" s="13">
        <v>253.72819999999999</v>
      </c>
      <c r="G93" s="13">
        <v>270.98250000000002</v>
      </c>
      <c r="H93" s="13">
        <v>489.63330000000002</v>
      </c>
      <c r="I93" s="13">
        <v>556.33889999999997</v>
      </c>
      <c r="J93" s="13">
        <v>423.16770000000002</v>
      </c>
      <c r="K93" s="13">
        <v>514.84</v>
      </c>
      <c r="L93" s="13">
        <v>567.05070000000001</v>
      </c>
      <c r="M93" s="13">
        <v>639.9769</v>
      </c>
      <c r="N93" s="13">
        <v>791.46370000000002</v>
      </c>
      <c r="O93" s="13">
        <v>929.07</v>
      </c>
      <c r="P93" s="13">
        <v>987.84</v>
      </c>
      <c r="Q93" s="13">
        <v>239.54</v>
      </c>
      <c r="R93" s="13">
        <v>435.67</v>
      </c>
      <c r="S93" s="13">
        <v>578.66999999999996</v>
      </c>
      <c r="T93" s="13">
        <v>731.46</v>
      </c>
      <c r="U93" s="13">
        <v>899.92</v>
      </c>
      <c r="V93" s="13">
        <v>1091.7</v>
      </c>
      <c r="W93" s="13">
        <v>1369.8</v>
      </c>
      <c r="X93" s="13">
        <v>1897.2</v>
      </c>
    </row>
    <row r="94" spans="1:24" x14ac:dyDescent="0.2">
      <c r="A94" s="10" t="s">
        <v>287</v>
      </c>
      <c r="B94" s="10" t="s">
        <v>394</v>
      </c>
      <c r="C94" s="13" t="s">
        <v>658</v>
      </c>
      <c r="D94" s="13" t="s">
        <v>658</v>
      </c>
      <c r="E94" s="13" t="s">
        <v>658</v>
      </c>
      <c r="F94" s="13" t="s">
        <v>658</v>
      </c>
      <c r="G94" s="13" t="s">
        <v>658</v>
      </c>
      <c r="H94" s="13" t="s">
        <v>658</v>
      </c>
      <c r="I94" s="13" t="s">
        <v>658</v>
      </c>
      <c r="J94" s="13" t="s">
        <v>658</v>
      </c>
      <c r="K94" s="13" t="s">
        <v>658</v>
      </c>
      <c r="L94" s="13" t="s">
        <v>658</v>
      </c>
      <c r="M94" s="13" t="s">
        <v>658</v>
      </c>
      <c r="N94" s="13" t="s">
        <v>658</v>
      </c>
      <c r="O94" s="13" t="s">
        <v>658</v>
      </c>
      <c r="P94" s="13">
        <v>1163.82</v>
      </c>
      <c r="Q94" s="13">
        <v>1112.1400000000001</v>
      </c>
      <c r="R94" s="13">
        <v>1177.3599999999999</v>
      </c>
      <c r="S94" s="13">
        <v>1180.0899999999999</v>
      </c>
      <c r="T94" s="13">
        <v>1155</v>
      </c>
      <c r="U94" s="13">
        <v>1147.21</v>
      </c>
      <c r="V94" s="13" t="s">
        <v>658</v>
      </c>
      <c r="W94" s="13" t="s">
        <v>658</v>
      </c>
      <c r="X94" s="13" t="s">
        <v>658</v>
      </c>
    </row>
    <row r="95" spans="1:24" x14ac:dyDescent="0.2">
      <c r="A95" s="10" t="s">
        <v>395</v>
      </c>
      <c r="B95" s="10" t="s">
        <v>396</v>
      </c>
      <c r="C95" s="13" t="s">
        <v>658</v>
      </c>
      <c r="D95" s="13" t="s">
        <v>658</v>
      </c>
      <c r="E95" s="13" t="s">
        <v>658</v>
      </c>
      <c r="F95" s="13" t="s">
        <v>658</v>
      </c>
      <c r="G95" s="13" t="s">
        <v>658</v>
      </c>
      <c r="H95" s="13" t="s">
        <v>658</v>
      </c>
      <c r="I95" s="13" t="s">
        <v>658</v>
      </c>
      <c r="J95" s="13">
        <v>20.892399999999999</v>
      </c>
      <c r="K95" s="13">
        <v>2.5261</v>
      </c>
      <c r="L95" s="13">
        <v>2.7315999999999998</v>
      </c>
      <c r="M95" s="13">
        <v>50.667299999999997</v>
      </c>
      <c r="N95" s="13">
        <v>64.495900000000006</v>
      </c>
      <c r="O95" s="13">
        <v>43.82</v>
      </c>
      <c r="P95" s="13">
        <v>130.43</v>
      </c>
      <c r="Q95" s="13" t="s">
        <v>658</v>
      </c>
      <c r="R95" s="13" t="s">
        <v>658</v>
      </c>
      <c r="S95" s="13" t="s">
        <v>658</v>
      </c>
      <c r="T95" s="13" t="s">
        <v>658</v>
      </c>
      <c r="U95" s="13" t="s">
        <v>658</v>
      </c>
      <c r="V95" s="13" t="s">
        <v>658</v>
      </c>
      <c r="W95" s="13" t="s">
        <v>658</v>
      </c>
      <c r="X95" s="13" t="s">
        <v>658</v>
      </c>
    </row>
    <row r="96" spans="1:24" x14ac:dyDescent="0.2">
      <c r="A96" s="10" t="s">
        <v>289</v>
      </c>
      <c r="B96" s="10" t="s">
        <v>397</v>
      </c>
      <c r="C96" s="13" t="s">
        <v>658</v>
      </c>
      <c r="D96" s="13" t="s">
        <v>658</v>
      </c>
      <c r="E96" s="13" t="s">
        <v>658</v>
      </c>
      <c r="F96" s="13" t="s">
        <v>658</v>
      </c>
      <c r="G96" s="13" t="s">
        <v>658</v>
      </c>
      <c r="H96" s="13" t="s">
        <v>658</v>
      </c>
      <c r="I96" s="13" t="s">
        <v>658</v>
      </c>
      <c r="J96" s="13" t="s">
        <v>658</v>
      </c>
      <c r="K96" s="13" t="s">
        <v>658</v>
      </c>
      <c r="L96" s="13" t="s">
        <v>658</v>
      </c>
      <c r="M96" s="13">
        <v>1262.5898999999999</v>
      </c>
      <c r="N96" s="13">
        <v>1259.1461999999999</v>
      </c>
      <c r="O96" s="13">
        <v>1400</v>
      </c>
      <c r="P96" s="13">
        <v>1642.81</v>
      </c>
      <c r="Q96" s="13" t="s">
        <v>658</v>
      </c>
      <c r="R96" s="13">
        <v>2346.1</v>
      </c>
      <c r="S96" s="13">
        <v>2116.81</v>
      </c>
      <c r="T96" s="13">
        <v>806.14</v>
      </c>
      <c r="U96" s="13">
        <v>811.57</v>
      </c>
      <c r="V96" s="13">
        <v>839.6</v>
      </c>
      <c r="W96" s="13">
        <v>1026.0999999999999</v>
      </c>
      <c r="X96" s="13">
        <v>6913.4</v>
      </c>
    </row>
    <row r="97" spans="1:24" x14ac:dyDescent="0.2">
      <c r="A97" s="10" t="s">
        <v>291</v>
      </c>
      <c r="B97" s="10" t="s">
        <v>398</v>
      </c>
      <c r="C97" s="13" t="s">
        <v>658</v>
      </c>
      <c r="D97" s="13" t="s">
        <v>658</v>
      </c>
      <c r="E97" s="13">
        <v>0.1333</v>
      </c>
      <c r="F97" s="13" t="s">
        <v>658</v>
      </c>
      <c r="G97" s="13" t="s">
        <v>658</v>
      </c>
      <c r="H97" s="13" t="s">
        <v>658</v>
      </c>
      <c r="I97" s="13" t="s">
        <v>658</v>
      </c>
      <c r="J97" s="13">
        <v>0.83979999999999999</v>
      </c>
      <c r="K97" s="13">
        <v>0.68740000000000001</v>
      </c>
      <c r="L97" s="13" t="s">
        <v>658</v>
      </c>
      <c r="M97" s="13">
        <v>108.71939999999999</v>
      </c>
      <c r="N97" s="13">
        <v>87.032300000000006</v>
      </c>
      <c r="O97" s="13">
        <v>181.26</v>
      </c>
      <c r="P97" s="13">
        <v>132.29</v>
      </c>
      <c r="Q97" s="13">
        <v>47.05</v>
      </c>
      <c r="R97" s="13">
        <v>29.99</v>
      </c>
      <c r="S97" s="13">
        <v>8.56</v>
      </c>
      <c r="T97" s="13">
        <v>-15.15</v>
      </c>
      <c r="U97" s="13">
        <v>5.05</v>
      </c>
      <c r="V97" s="13">
        <v>3.7</v>
      </c>
      <c r="W97" s="13">
        <v>3.6</v>
      </c>
      <c r="X97" s="13">
        <v>3.8</v>
      </c>
    </row>
    <row r="98" spans="1:24" x14ac:dyDescent="0.2">
      <c r="A98" s="10" t="s">
        <v>399</v>
      </c>
      <c r="B98" s="10" t="s">
        <v>400</v>
      </c>
      <c r="C98" s="13" t="s">
        <v>658</v>
      </c>
      <c r="D98" s="13" t="s">
        <v>658</v>
      </c>
      <c r="E98" s="13" t="s">
        <v>658</v>
      </c>
      <c r="F98" s="13" t="s">
        <v>658</v>
      </c>
      <c r="G98" s="13" t="s">
        <v>658</v>
      </c>
      <c r="H98" s="13" t="s">
        <v>658</v>
      </c>
      <c r="I98" s="13" t="s">
        <v>658</v>
      </c>
      <c r="J98" s="13" t="s">
        <v>658</v>
      </c>
      <c r="K98" s="13" t="s">
        <v>658</v>
      </c>
      <c r="L98" s="13" t="s">
        <v>658</v>
      </c>
      <c r="M98" s="13" t="s">
        <v>658</v>
      </c>
      <c r="N98" s="13" t="s">
        <v>658</v>
      </c>
      <c r="O98" s="13">
        <v>312.5</v>
      </c>
      <c r="P98" s="13">
        <v>32.51</v>
      </c>
      <c r="Q98" s="13">
        <v>82.27</v>
      </c>
      <c r="R98" s="13">
        <v>91.25</v>
      </c>
      <c r="S98" s="13">
        <v>92.58</v>
      </c>
      <c r="T98" s="13">
        <v>46.44</v>
      </c>
      <c r="U98" s="13">
        <v>442.82</v>
      </c>
      <c r="V98" s="13">
        <v>435.1</v>
      </c>
      <c r="W98" s="13">
        <v>915.2</v>
      </c>
      <c r="X98" s="13">
        <v>1001.4</v>
      </c>
    </row>
    <row r="99" spans="1:24" x14ac:dyDescent="0.2">
      <c r="A99" s="10" t="s">
        <v>293</v>
      </c>
      <c r="B99" s="10" t="s">
        <v>401</v>
      </c>
      <c r="C99" s="13" t="s">
        <v>658</v>
      </c>
      <c r="D99" s="13" t="s">
        <v>658</v>
      </c>
      <c r="E99" s="13" t="s">
        <v>658</v>
      </c>
      <c r="F99" s="13" t="s">
        <v>658</v>
      </c>
      <c r="G99" s="13" t="s">
        <v>658</v>
      </c>
      <c r="H99" s="13" t="s">
        <v>658</v>
      </c>
      <c r="I99" s="13" t="s">
        <v>658</v>
      </c>
      <c r="J99" s="13">
        <v>0</v>
      </c>
      <c r="K99" s="13">
        <v>457.76240000000001</v>
      </c>
      <c r="L99" s="13">
        <v>490.17939999999999</v>
      </c>
      <c r="M99" s="13">
        <v>1068.4664</v>
      </c>
      <c r="N99" s="13">
        <v>1075.4274</v>
      </c>
      <c r="O99" s="13">
        <v>1091.9000000000001</v>
      </c>
      <c r="P99" s="13">
        <v>1399.3</v>
      </c>
      <c r="Q99" s="13">
        <v>1752.37</v>
      </c>
      <c r="R99" s="13">
        <v>2124.25</v>
      </c>
      <c r="S99" s="13">
        <v>1947.92</v>
      </c>
      <c r="T99" s="13">
        <v>724.5</v>
      </c>
      <c r="U99" s="13">
        <v>732.68</v>
      </c>
      <c r="V99" s="13">
        <v>781.6</v>
      </c>
      <c r="W99" s="13">
        <v>971.9</v>
      </c>
      <c r="X99" s="13">
        <v>6069.5</v>
      </c>
    </row>
    <row r="100" spans="1:24" x14ac:dyDescent="0.2">
      <c r="A100" s="10" t="s">
        <v>402</v>
      </c>
      <c r="B100" s="10" t="s">
        <v>403</v>
      </c>
      <c r="C100" s="13" t="s">
        <v>658</v>
      </c>
      <c r="D100" s="13" t="s">
        <v>658</v>
      </c>
      <c r="E100" s="13" t="s">
        <v>658</v>
      </c>
      <c r="F100" s="13" t="s">
        <v>658</v>
      </c>
      <c r="G100" s="13" t="s">
        <v>658</v>
      </c>
      <c r="H100" s="13" t="s">
        <v>658</v>
      </c>
      <c r="I100" s="13" t="s">
        <v>658</v>
      </c>
      <c r="J100" s="13" t="s">
        <v>658</v>
      </c>
      <c r="K100" s="13" t="s">
        <v>658</v>
      </c>
      <c r="L100" s="13" t="s">
        <v>658</v>
      </c>
      <c r="M100" s="13" t="s">
        <v>658</v>
      </c>
      <c r="N100" s="13" t="s">
        <v>658</v>
      </c>
      <c r="O100" s="13">
        <v>8.35</v>
      </c>
      <c r="P100" s="13">
        <v>5.96</v>
      </c>
      <c r="Q100" s="13">
        <v>4.1100000000000003</v>
      </c>
      <c r="R100" s="13">
        <v>3.43</v>
      </c>
      <c r="S100" s="13">
        <v>1.55</v>
      </c>
      <c r="T100" s="13">
        <v>0.45</v>
      </c>
      <c r="U100" s="13">
        <v>0.01</v>
      </c>
      <c r="V100" s="13">
        <v>0</v>
      </c>
      <c r="W100" s="13">
        <v>0</v>
      </c>
      <c r="X100" s="13">
        <v>0</v>
      </c>
    </row>
    <row r="101" spans="1:24" x14ac:dyDescent="0.2">
      <c r="A101" s="10" t="s">
        <v>295</v>
      </c>
      <c r="B101" s="10" t="s">
        <v>404</v>
      </c>
      <c r="C101" s="13" t="s">
        <v>658</v>
      </c>
      <c r="D101" s="13" t="s">
        <v>658</v>
      </c>
      <c r="E101" s="13" t="s">
        <v>658</v>
      </c>
      <c r="F101" s="13" t="s">
        <v>658</v>
      </c>
      <c r="G101" s="13" t="s">
        <v>658</v>
      </c>
      <c r="H101" s="13" t="s">
        <v>658</v>
      </c>
      <c r="I101" s="13" t="s">
        <v>658</v>
      </c>
      <c r="J101" s="13" t="s">
        <v>658</v>
      </c>
      <c r="K101" s="13" t="s">
        <v>658</v>
      </c>
      <c r="L101" s="13" t="s">
        <v>658</v>
      </c>
      <c r="M101" s="13" t="s">
        <v>658</v>
      </c>
      <c r="N101" s="13" t="s">
        <v>658</v>
      </c>
      <c r="O101" s="13" t="s">
        <v>658</v>
      </c>
      <c r="P101" s="13">
        <v>4.79</v>
      </c>
      <c r="Q101" s="13">
        <v>108.28</v>
      </c>
      <c r="R101" s="13">
        <v>169.43</v>
      </c>
      <c r="S101" s="13">
        <v>159.9</v>
      </c>
      <c r="T101" s="13">
        <v>134.04</v>
      </c>
      <c r="U101" s="13">
        <v>155.04</v>
      </c>
      <c r="V101" s="13">
        <v>133.19999999999999</v>
      </c>
      <c r="W101" s="13">
        <v>15.7</v>
      </c>
      <c r="X101" s="13">
        <v>0.6</v>
      </c>
    </row>
    <row r="102" spans="1:24" x14ac:dyDescent="0.2">
      <c r="A102" s="10" t="s">
        <v>349</v>
      </c>
      <c r="B102" s="10" t="s">
        <v>405</v>
      </c>
      <c r="C102" s="13">
        <v>39.925199999999997</v>
      </c>
      <c r="D102" s="13">
        <v>39.3675</v>
      </c>
      <c r="E102" s="13">
        <v>66.982900000000001</v>
      </c>
      <c r="F102" s="13">
        <v>33.441200000000002</v>
      </c>
      <c r="G102" s="13">
        <v>39.759599999999999</v>
      </c>
      <c r="H102" s="13" t="s">
        <v>658</v>
      </c>
      <c r="I102" s="13">
        <v>61.6706</v>
      </c>
      <c r="J102" s="13" t="s">
        <v>658</v>
      </c>
      <c r="K102" s="13" t="s">
        <v>658</v>
      </c>
      <c r="L102" s="13" t="s">
        <v>658</v>
      </c>
      <c r="M102" s="13" t="s">
        <v>658</v>
      </c>
      <c r="N102" s="13" t="s">
        <v>658</v>
      </c>
      <c r="O102" s="13" t="s">
        <v>658</v>
      </c>
      <c r="P102" s="13">
        <v>620.97</v>
      </c>
      <c r="Q102" s="13">
        <v>697.74</v>
      </c>
      <c r="R102" s="13">
        <v>742.27</v>
      </c>
      <c r="S102" s="13">
        <v>897.3</v>
      </c>
      <c r="T102" s="13">
        <v>895.39</v>
      </c>
      <c r="U102" s="13">
        <v>998.99</v>
      </c>
      <c r="V102" s="13">
        <v>1134.4000000000001</v>
      </c>
      <c r="W102" s="13">
        <v>1006</v>
      </c>
      <c r="X102" s="13">
        <v>1384.4</v>
      </c>
    </row>
    <row r="103" spans="1:24" x14ac:dyDescent="0.2">
      <c r="A103" s="10" t="s">
        <v>351</v>
      </c>
      <c r="B103" s="10" t="s">
        <v>406</v>
      </c>
      <c r="C103" s="13">
        <v>20</v>
      </c>
      <c r="D103" s="13" t="s">
        <v>658</v>
      </c>
      <c r="E103" s="13" t="s">
        <v>658</v>
      </c>
      <c r="F103" s="13" t="s">
        <v>658</v>
      </c>
      <c r="G103" s="13" t="s">
        <v>658</v>
      </c>
      <c r="H103" s="13">
        <v>90.927599999999998</v>
      </c>
      <c r="I103" s="13" t="s">
        <v>658</v>
      </c>
      <c r="J103" s="13" t="s">
        <v>658</v>
      </c>
      <c r="K103" s="13" t="s">
        <v>658</v>
      </c>
      <c r="L103" s="13" t="s">
        <v>658</v>
      </c>
      <c r="M103" s="13" t="s">
        <v>658</v>
      </c>
      <c r="N103" s="13" t="s">
        <v>658</v>
      </c>
      <c r="O103" s="13">
        <v>164.3</v>
      </c>
      <c r="P103" s="13" t="s">
        <v>658</v>
      </c>
      <c r="Q103" s="13" t="s">
        <v>658</v>
      </c>
      <c r="R103" s="13" t="s">
        <v>658</v>
      </c>
      <c r="S103" s="13" t="s">
        <v>658</v>
      </c>
      <c r="T103" s="13" t="s">
        <v>658</v>
      </c>
      <c r="U103" s="13" t="s">
        <v>658</v>
      </c>
      <c r="V103" s="13" t="s">
        <v>658</v>
      </c>
      <c r="W103" s="13" t="s">
        <v>658</v>
      </c>
      <c r="X103" s="13" t="s">
        <v>658</v>
      </c>
    </row>
    <row r="104" spans="1:24" x14ac:dyDescent="0.2">
      <c r="A104" s="10" t="s">
        <v>353</v>
      </c>
      <c r="B104" s="10" t="s">
        <v>407</v>
      </c>
      <c r="C104" s="13" t="s">
        <v>658</v>
      </c>
      <c r="D104" s="13" t="s">
        <v>658</v>
      </c>
      <c r="E104" s="13" t="s">
        <v>658</v>
      </c>
      <c r="F104" s="13" t="s">
        <v>658</v>
      </c>
      <c r="G104" s="13" t="s">
        <v>658</v>
      </c>
      <c r="H104" s="13" t="s">
        <v>658</v>
      </c>
      <c r="I104" s="13" t="s">
        <v>658</v>
      </c>
      <c r="J104" s="13" t="s">
        <v>658</v>
      </c>
      <c r="K104" s="13" t="s">
        <v>658</v>
      </c>
      <c r="L104" s="13" t="s">
        <v>658</v>
      </c>
      <c r="M104" s="13" t="s">
        <v>658</v>
      </c>
      <c r="N104" s="13" t="s">
        <v>658</v>
      </c>
      <c r="O104" s="13" t="s">
        <v>658</v>
      </c>
      <c r="P104" s="13">
        <v>209.11</v>
      </c>
      <c r="Q104" s="13" t="s">
        <v>658</v>
      </c>
      <c r="R104" s="13">
        <v>358.79</v>
      </c>
      <c r="S104" s="13">
        <v>964.64</v>
      </c>
      <c r="T104" s="13">
        <v>0</v>
      </c>
      <c r="U104" s="13">
        <v>480</v>
      </c>
      <c r="V104" s="13">
        <v>0</v>
      </c>
      <c r="W104" s="13" t="s">
        <v>658</v>
      </c>
      <c r="X104" s="13">
        <v>211.5</v>
      </c>
    </row>
    <row r="105" spans="1:24" x14ac:dyDescent="0.2">
      <c r="A105" s="10" t="s">
        <v>408</v>
      </c>
      <c r="B105" s="10" t="s">
        <v>409</v>
      </c>
      <c r="C105" s="13" t="s">
        <v>658</v>
      </c>
      <c r="D105" s="13" t="s">
        <v>658</v>
      </c>
      <c r="E105" s="13" t="s">
        <v>658</v>
      </c>
      <c r="F105" s="13" t="s">
        <v>658</v>
      </c>
      <c r="G105" s="13" t="s">
        <v>658</v>
      </c>
      <c r="H105" s="13" t="s">
        <v>658</v>
      </c>
      <c r="I105" s="13" t="s">
        <v>658</v>
      </c>
      <c r="J105" s="13" t="s">
        <v>658</v>
      </c>
      <c r="K105" s="13" t="s">
        <v>658</v>
      </c>
      <c r="L105" s="13" t="s">
        <v>658</v>
      </c>
      <c r="M105" s="13" t="s">
        <v>658</v>
      </c>
      <c r="N105" s="13" t="s">
        <v>658</v>
      </c>
      <c r="O105" s="13">
        <v>39.15</v>
      </c>
      <c r="P105" s="13">
        <v>23.57</v>
      </c>
      <c r="Q105" s="13">
        <v>11.64</v>
      </c>
      <c r="R105" s="13">
        <v>22.29</v>
      </c>
      <c r="S105" s="13">
        <v>24.91</v>
      </c>
      <c r="T105" s="13">
        <v>34.39</v>
      </c>
      <c r="U105" s="13">
        <v>46.17</v>
      </c>
      <c r="V105" s="13" t="s">
        <v>658</v>
      </c>
      <c r="W105" s="13" t="s">
        <v>658</v>
      </c>
      <c r="X105" s="13" t="s">
        <v>658</v>
      </c>
    </row>
    <row r="106" spans="1:24" x14ac:dyDescent="0.2">
      <c r="A106" s="10" t="s">
        <v>410</v>
      </c>
      <c r="B106" s="10" t="s">
        <v>411</v>
      </c>
      <c r="C106" s="13" t="s">
        <v>658</v>
      </c>
      <c r="D106" s="13" t="s">
        <v>658</v>
      </c>
      <c r="E106" s="13" t="s">
        <v>658</v>
      </c>
      <c r="F106" s="13" t="s">
        <v>658</v>
      </c>
      <c r="G106" s="13" t="s">
        <v>658</v>
      </c>
      <c r="H106" s="13" t="s">
        <v>658</v>
      </c>
      <c r="I106" s="13" t="s">
        <v>658</v>
      </c>
      <c r="J106" s="13" t="s">
        <v>658</v>
      </c>
      <c r="K106" s="13" t="s">
        <v>658</v>
      </c>
      <c r="L106" s="13" t="s">
        <v>658</v>
      </c>
      <c r="M106" s="13" t="s">
        <v>658</v>
      </c>
      <c r="N106" s="13" t="s">
        <v>658</v>
      </c>
      <c r="O106" s="13" t="s">
        <v>658</v>
      </c>
      <c r="P106" s="13" t="s">
        <v>658</v>
      </c>
      <c r="Q106" s="13" t="s">
        <v>658</v>
      </c>
      <c r="R106" s="13" t="s">
        <v>658</v>
      </c>
      <c r="S106" s="13" t="s">
        <v>658</v>
      </c>
      <c r="T106" s="13" t="s">
        <v>658</v>
      </c>
      <c r="U106" s="13">
        <v>148.41999999999999</v>
      </c>
      <c r="V106" s="13">
        <v>116.6</v>
      </c>
      <c r="W106" s="13">
        <v>121.7</v>
      </c>
      <c r="X106" s="13">
        <v>181.4</v>
      </c>
    </row>
    <row r="107" spans="1:24" x14ac:dyDescent="0.2">
      <c r="A107" s="10" t="s">
        <v>412</v>
      </c>
      <c r="B107" s="10" t="s">
        <v>413</v>
      </c>
      <c r="C107" s="13" t="s">
        <v>658</v>
      </c>
      <c r="D107" s="13" t="s">
        <v>658</v>
      </c>
      <c r="E107" s="13" t="s">
        <v>658</v>
      </c>
      <c r="F107" s="13" t="s">
        <v>658</v>
      </c>
      <c r="G107" s="13" t="s">
        <v>658</v>
      </c>
      <c r="H107" s="13" t="s">
        <v>658</v>
      </c>
      <c r="I107" s="13" t="s">
        <v>658</v>
      </c>
      <c r="J107" s="13" t="s">
        <v>658</v>
      </c>
      <c r="K107" s="13">
        <v>0.33090000000000003</v>
      </c>
      <c r="L107" s="13">
        <v>0.2397</v>
      </c>
      <c r="M107" s="13">
        <v>3.0325000000000002</v>
      </c>
      <c r="N107" s="13">
        <v>3.3856000000000002</v>
      </c>
      <c r="O107" s="13">
        <v>3.64</v>
      </c>
      <c r="P107" s="13">
        <v>10.85</v>
      </c>
      <c r="Q107" s="13" t="s">
        <v>658</v>
      </c>
      <c r="R107" s="13" t="s">
        <v>658</v>
      </c>
      <c r="S107" s="13" t="s">
        <v>658</v>
      </c>
      <c r="T107" s="13" t="s">
        <v>658</v>
      </c>
      <c r="U107" s="13">
        <v>1.58</v>
      </c>
      <c r="V107" s="13">
        <v>0.3</v>
      </c>
      <c r="W107" s="13">
        <v>0.4</v>
      </c>
      <c r="X107" s="13">
        <v>15.3</v>
      </c>
    </row>
    <row r="108" spans="1:24" x14ac:dyDescent="0.2">
      <c r="A108" s="10" t="s">
        <v>414</v>
      </c>
      <c r="B108" s="10" t="s">
        <v>415</v>
      </c>
      <c r="C108" s="13" t="s">
        <v>658</v>
      </c>
      <c r="D108" s="13" t="s">
        <v>658</v>
      </c>
      <c r="E108" s="13" t="s">
        <v>658</v>
      </c>
      <c r="F108" s="13" t="s">
        <v>658</v>
      </c>
      <c r="G108" s="13" t="s">
        <v>658</v>
      </c>
      <c r="H108" s="13" t="s">
        <v>658</v>
      </c>
      <c r="I108" s="13" t="s">
        <v>658</v>
      </c>
      <c r="J108" s="13" t="s">
        <v>658</v>
      </c>
      <c r="K108" s="13">
        <v>1.9446000000000001</v>
      </c>
      <c r="L108" s="13">
        <v>1.7799</v>
      </c>
      <c r="M108" s="13">
        <v>1.5966</v>
      </c>
      <c r="N108" s="13">
        <v>1.6282000000000001</v>
      </c>
      <c r="O108" s="13">
        <v>20.76</v>
      </c>
      <c r="P108" s="13">
        <v>1.42</v>
      </c>
      <c r="Q108" s="13" t="s">
        <v>658</v>
      </c>
      <c r="R108" s="13" t="s">
        <v>658</v>
      </c>
      <c r="S108" s="13" t="s">
        <v>658</v>
      </c>
      <c r="T108" s="13" t="s">
        <v>658</v>
      </c>
      <c r="U108" s="13">
        <v>1.62</v>
      </c>
      <c r="V108" s="13">
        <v>1.7</v>
      </c>
      <c r="W108" s="13">
        <v>146.69999999999999</v>
      </c>
      <c r="X108" s="13">
        <v>2.8</v>
      </c>
    </row>
    <row r="109" spans="1:24" x14ac:dyDescent="0.2">
      <c r="A109" s="10" t="s">
        <v>355</v>
      </c>
      <c r="B109" s="10" t="s">
        <v>416</v>
      </c>
      <c r="C109" s="13" t="s">
        <v>658</v>
      </c>
      <c r="D109" s="13" t="s">
        <v>658</v>
      </c>
      <c r="E109" s="13" t="s">
        <v>658</v>
      </c>
      <c r="F109" s="13" t="s">
        <v>658</v>
      </c>
      <c r="G109" s="13" t="s">
        <v>658</v>
      </c>
      <c r="H109" s="13" t="s">
        <v>658</v>
      </c>
      <c r="I109" s="13" t="s">
        <v>658</v>
      </c>
      <c r="J109" s="13" t="s">
        <v>658</v>
      </c>
      <c r="K109" s="13" t="s">
        <v>658</v>
      </c>
      <c r="L109" s="13" t="s">
        <v>658</v>
      </c>
      <c r="M109" s="13" t="s">
        <v>658</v>
      </c>
      <c r="N109" s="13" t="s">
        <v>658</v>
      </c>
      <c r="O109" s="13">
        <v>153.35</v>
      </c>
      <c r="P109" s="13">
        <v>457.06</v>
      </c>
      <c r="Q109" s="13">
        <v>96.44</v>
      </c>
      <c r="R109" s="13">
        <v>233.95</v>
      </c>
      <c r="S109" s="13">
        <v>232.45</v>
      </c>
      <c r="T109" s="13">
        <v>262.83</v>
      </c>
      <c r="U109" s="13">
        <v>180.35</v>
      </c>
      <c r="V109" s="13">
        <v>182.7</v>
      </c>
      <c r="W109" s="13">
        <v>285.8</v>
      </c>
      <c r="X109" s="13">
        <v>276</v>
      </c>
    </row>
    <row r="110" spans="1:24" x14ac:dyDescent="0.2">
      <c r="A110" s="10" t="s">
        <v>260</v>
      </c>
      <c r="B110" s="10" t="s">
        <v>417</v>
      </c>
      <c r="C110" s="13" t="s">
        <v>658</v>
      </c>
      <c r="D110" s="13" t="s">
        <v>658</v>
      </c>
      <c r="E110" s="13" t="s">
        <v>658</v>
      </c>
      <c r="F110" s="13" t="s">
        <v>658</v>
      </c>
      <c r="G110" s="13" t="s">
        <v>658</v>
      </c>
      <c r="H110" s="13" t="s">
        <v>658</v>
      </c>
      <c r="I110" s="13" t="s">
        <v>658</v>
      </c>
      <c r="J110" s="13" t="s">
        <v>658</v>
      </c>
      <c r="K110" s="13" t="s">
        <v>658</v>
      </c>
      <c r="L110" s="13" t="s">
        <v>658</v>
      </c>
      <c r="M110" s="13" t="s">
        <v>658</v>
      </c>
      <c r="N110" s="13" t="s">
        <v>658</v>
      </c>
      <c r="O110" s="13" t="s">
        <v>658</v>
      </c>
      <c r="P110" s="13">
        <v>80.41</v>
      </c>
      <c r="Q110" s="13" t="s">
        <v>658</v>
      </c>
      <c r="R110" s="13" t="s">
        <v>658</v>
      </c>
      <c r="S110" s="13" t="s">
        <v>658</v>
      </c>
      <c r="T110" s="13" t="s">
        <v>658</v>
      </c>
      <c r="U110" s="13" t="s">
        <v>658</v>
      </c>
      <c r="V110" s="13" t="s">
        <v>658</v>
      </c>
      <c r="W110" s="13" t="s">
        <v>658</v>
      </c>
      <c r="X110" s="13">
        <v>1366.1</v>
      </c>
    </row>
    <row r="111" spans="1:24" x14ac:dyDescent="0.2">
      <c r="A111" s="10" t="s">
        <v>262</v>
      </c>
      <c r="B111" s="10" t="s">
        <v>418</v>
      </c>
      <c r="C111" s="13" t="s">
        <v>658</v>
      </c>
      <c r="D111" s="13" t="s">
        <v>658</v>
      </c>
      <c r="E111" s="13" t="s">
        <v>658</v>
      </c>
      <c r="F111" s="13" t="s">
        <v>658</v>
      </c>
      <c r="G111" s="13" t="s">
        <v>658</v>
      </c>
      <c r="H111" s="13" t="s">
        <v>658</v>
      </c>
      <c r="I111" s="13">
        <v>14.3645</v>
      </c>
      <c r="J111" s="13">
        <v>32.186300000000003</v>
      </c>
      <c r="K111" s="13">
        <v>35.941099999999999</v>
      </c>
      <c r="L111" s="13">
        <v>41.582999999999998</v>
      </c>
      <c r="M111" s="13">
        <v>132.5128</v>
      </c>
      <c r="N111" s="13">
        <v>138.9658</v>
      </c>
      <c r="O111" s="13">
        <v>151.94999999999999</v>
      </c>
      <c r="P111" s="13">
        <v>132.27000000000001</v>
      </c>
      <c r="Q111" s="13" t="s">
        <v>658</v>
      </c>
      <c r="R111" s="13" t="s">
        <v>658</v>
      </c>
      <c r="S111" s="13" t="s">
        <v>658</v>
      </c>
      <c r="T111" s="13" t="s">
        <v>658</v>
      </c>
      <c r="U111" s="13" t="s">
        <v>658</v>
      </c>
      <c r="V111" s="13" t="s">
        <v>658</v>
      </c>
      <c r="W111" s="13" t="s">
        <v>658</v>
      </c>
      <c r="X111" s="13" t="s">
        <v>658</v>
      </c>
    </row>
    <row r="112" spans="1:24" x14ac:dyDescent="0.2">
      <c r="A112" s="10" t="s">
        <v>264</v>
      </c>
      <c r="B112" s="10" t="s">
        <v>419</v>
      </c>
      <c r="C112" s="13" t="s">
        <v>658</v>
      </c>
      <c r="D112" s="13" t="s">
        <v>658</v>
      </c>
      <c r="E112" s="13" t="s">
        <v>658</v>
      </c>
      <c r="F112" s="13" t="s">
        <v>658</v>
      </c>
      <c r="G112" s="13" t="s">
        <v>658</v>
      </c>
      <c r="H112" s="13" t="s">
        <v>658</v>
      </c>
      <c r="I112" s="13" t="s">
        <v>658</v>
      </c>
      <c r="J112" s="13" t="s">
        <v>658</v>
      </c>
      <c r="K112" s="13" t="s">
        <v>658</v>
      </c>
      <c r="L112" s="13" t="s">
        <v>658</v>
      </c>
      <c r="M112" s="13" t="s">
        <v>658</v>
      </c>
      <c r="N112" s="13" t="s">
        <v>658</v>
      </c>
      <c r="O112" s="13">
        <v>0.34</v>
      </c>
      <c r="P112" s="13">
        <v>0.64</v>
      </c>
      <c r="Q112" s="13" t="s">
        <v>658</v>
      </c>
      <c r="R112" s="13" t="s">
        <v>658</v>
      </c>
      <c r="S112" s="13" t="s">
        <v>658</v>
      </c>
      <c r="T112" s="13" t="s">
        <v>658</v>
      </c>
      <c r="U112" s="13">
        <v>0</v>
      </c>
      <c r="V112" s="13">
        <v>50</v>
      </c>
      <c r="W112" s="13">
        <v>0</v>
      </c>
      <c r="X112" s="13" t="s">
        <v>658</v>
      </c>
    </row>
    <row r="113" spans="1:24" x14ac:dyDescent="0.2">
      <c r="A113" s="10" t="s">
        <v>233</v>
      </c>
      <c r="B113" s="10" t="s">
        <v>420</v>
      </c>
      <c r="C113" s="13" t="s">
        <v>658</v>
      </c>
      <c r="D113" s="13" t="s">
        <v>658</v>
      </c>
      <c r="E113" s="13" t="s">
        <v>658</v>
      </c>
      <c r="F113" s="13" t="s">
        <v>658</v>
      </c>
      <c r="G113" s="13" t="s">
        <v>658</v>
      </c>
      <c r="H113" s="13">
        <v>210</v>
      </c>
      <c r="I113" s="13">
        <v>3.5</v>
      </c>
      <c r="J113" s="13">
        <v>20</v>
      </c>
      <c r="K113" s="13">
        <v>20</v>
      </c>
      <c r="L113" s="13">
        <v>20</v>
      </c>
      <c r="M113" s="13" t="s">
        <v>658</v>
      </c>
      <c r="N113" s="13" t="s">
        <v>658</v>
      </c>
      <c r="O113" s="13" t="s">
        <v>658</v>
      </c>
      <c r="P113" s="13" t="s">
        <v>658</v>
      </c>
      <c r="Q113" s="13" t="s">
        <v>658</v>
      </c>
      <c r="R113" s="13" t="s">
        <v>658</v>
      </c>
      <c r="S113" s="13" t="s">
        <v>658</v>
      </c>
      <c r="T113" s="13" t="s">
        <v>658</v>
      </c>
      <c r="U113" s="13" t="s">
        <v>658</v>
      </c>
      <c r="V113" s="13" t="s">
        <v>658</v>
      </c>
      <c r="W113" s="13" t="s">
        <v>658</v>
      </c>
      <c r="X113" s="13" t="s">
        <v>658</v>
      </c>
    </row>
    <row r="114" spans="1:24" x14ac:dyDescent="0.2">
      <c r="A114" s="10" t="s">
        <v>421</v>
      </c>
      <c r="B114" s="10" t="s">
        <v>422</v>
      </c>
      <c r="C114" s="13" t="s">
        <v>658</v>
      </c>
      <c r="D114" s="13" t="s">
        <v>658</v>
      </c>
      <c r="E114" s="13" t="s">
        <v>658</v>
      </c>
      <c r="F114" s="13" t="s">
        <v>658</v>
      </c>
      <c r="G114" s="13" t="s">
        <v>658</v>
      </c>
      <c r="H114" s="13" t="s">
        <v>658</v>
      </c>
      <c r="I114" s="13" t="s">
        <v>658</v>
      </c>
      <c r="J114" s="13" t="s">
        <v>658</v>
      </c>
      <c r="K114" s="13" t="s">
        <v>658</v>
      </c>
      <c r="L114" s="13" t="s">
        <v>658</v>
      </c>
      <c r="M114" s="13" t="s">
        <v>658</v>
      </c>
      <c r="N114" s="13" t="s">
        <v>658</v>
      </c>
      <c r="O114" s="13" t="s">
        <v>658</v>
      </c>
      <c r="P114" s="13">
        <v>259.57</v>
      </c>
      <c r="Q114" s="13">
        <v>363.64</v>
      </c>
      <c r="R114" s="13">
        <v>393.67</v>
      </c>
      <c r="S114" s="13">
        <v>220.15</v>
      </c>
      <c r="T114" s="13">
        <v>-6.94</v>
      </c>
      <c r="U114" s="13" t="s">
        <v>658</v>
      </c>
      <c r="V114" s="13" t="s">
        <v>658</v>
      </c>
      <c r="W114" s="13">
        <v>-82.7</v>
      </c>
      <c r="X114" s="13" t="s">
        <v>658</v>
      </c>
    </row>
    <row r="115" spans="1:24" x14ac:dyDescent="0.2">
      <c r="A115" s="10" t="s">
        <v>423</v>
      </c>
      <c r="B115" s="10" t="s">
        <v>424</v>
      </c>
      <c r="C115" s="13" t="s">
        <v>658</v>
      </c>
      <c r="D115" s="13" t="s">
        <v>658</v>
      </c>
      <c r="E115" s="13" t="s">
        <v>658</v>
      </c>
      <c r="F115" s="13" t="s">
        <v>658</v>
      </c>
      <c r="G115" s="13" t="s">
        <v>658</v>
      </c>
      <c r="H115" s="13" t="s">
        <v>658</v>
      </c>
      <c r="I115" s="13" t="s">
        <v>658</v>
      </c>
      <c r="J115" s="13" t="s">
        <v>658</v>
      </c>
      <c r="K115" s="13" t="s">
        <v>658</v>
      </c>
      <c r="L115" s="13" t="s">
        <v>658</v>
      </c>
      <c r="M115" s="13">
        <v>294.74669999999998</v>
      </c>
      <c r="N115" s="13">
        <v>294.74669999999998</v>
      </c>
      <c r="O115" s="13">
        <v>294.75</v>
      </c>
      <c r="P115" s="13">
        <v>294.75</v>
      </c>
      <c r="Q115" s="13" t="s">
        <v>658</v>
      </c>
      <c r="R115" s="13" t="s">
        <v>658</v>
      </c>
      <c r="S115" s="13" t="s">
        <v>658</v>
      </c>
      <c r="T115" s="13" t="s">
        <v>658</v>
      </c>
      <c r="U115" s="13" t="s">
        <v>658</v>
      </c>
      <c r="V115" s="13" t="s">
        <v>658</v>
      </c>
      <c r="W115" s="13" t="s">
        <v>658</v>
      </c>
      <c r="X115" s="13" t="s">
        <v>658</v>
      </c>
    </row>
    <row r="116" spans="1:24" x14ac:dyDescent="0.2">
      <c r="A116" s="10" t="s">
        <v>425</v>
      </c>
      <c r="B116" s="10" t="s">
        <v>426</v>
      </c>
      <c r="C116" s="13">
        <v>232.09780000000001</v>
      </c>
      <c r="D116" s="13">
        <v>1066.2864</v>
      </c>
      <c r="E116" s="13">
        <v>1067.9280000000001</v>
      </c>
      <c r="F116" s="13">
        <v>1076.193</v>
      </c>
      <c r="G116" s="13">
        <v>1076.193</v>
      </c>
      <c r="H116" s="13">
        <v>1078.4302</v>
      </c>
      <c r="I116" s="13">
        <v>1080.0787</v>
      </c>
      <c r="J116" s="13">
        <v>1080.0787</v>
      </c>
      <c r="K116" s="13">
        <v>1080.0787</v>
      </c>
      <c r="L116" s="13">
        <v>1080.0787</v>
      </c>
      <c r="M116" s="13">
        <v>1080.0787</v>
      </c>
      <c r="N116" s="13">
        <v>1080.0787</v>
      </c>
      <c r="O116" s="13">
        <v>1080.08</v>
      </c>
      <c r="P116" s="13">
        <v>1080.08</v>
      </c>
      <c r="Q116" s="13">
        <v>1080.08</v>
      </c>
      <c r="R116" s="13">
        <v>1080.08</v>
      </c>
      <c r="S116" s="13">
        <v>1080.08</v>
      </c>
      <c r="T116" s="13">
        <v>1084.1199999999999</v>
      </c>
      <c r="U116" s="13">
        <v>1086.26</v>
      </c>
      <c r="V116" s="13">
        <v>1086.3</v>
      </c>
      <c r="W116" s="13">
        <v>921.5</v>
      </c>
      <c r="X116" s="13">
        <v>951.5</v>
      </c>
    </row>
    <row r="117" spans="1:24" x14ac:dyDescent="0.2">
      <c r="A117" s="10" t="s">
        <v>427</v>
      </c>
      <c r="B117" s="10" t="s">
        <v>428</v>
      </c>
      <c r="C117" s="13">
        <v>133.1362</v>
      </c>
      <c r="D117" s="13">
        <v>159.2902</v>
      </c>
      <c r="E117" s="13">
        <v>101.4366</v>
      </c>
      <c r="F117" s="13">
        <v>12.535600000000001</v>
      </c>
      <c r="G117" s="13">
        <v>18.748799999999999</v>
      </c>
      <c r="H117" s="13">
        <v>137.179</v>
      </c>
      <c r="I117" s="13">
        <v>217.02019999999999</v>
      </c>
      <c r="J117" s="13">
        <v>276.13069999999999</v>
      </c>
      <c r="K117" s="13">
        <v>444.95389999999998</v>
      </c>
      <c r="L117" s="13">
        <v>627.43830000000003</v>
      </c>
      <c r="M117" s="13">
        <v>890.30409999999995</v>
      </c>
      <c r="N117" s="13">
        <v>1184.9467</v>
      </c>
      <c r="O117" s="13">
        <v>1665.03</v>
      </c>
      <c r="P117" s="13">
        <v>2566.34</v>
      </c>
      <c r="Q117" s="13">
        <v>3290.81</v>
      </c>
      <c r="R117" s="13">
        <v>3992.59</v>
      </c>
      <c r="S117" s="13">
        <v>4461.72</v>
      </c>
      <c r="T117" s="13">
        <v>4923.87</v>
      </c>
      <c r="U117" s="13">
        <v>6381.16</v>
      </c>
      <c r="V117" s="13">
        <v>8197</v>
      </c>
      <c r="W117" s="13">
        <v>10048.9</v>
      </c>
      <c r="X117" s="13">
        <v>11758.8</v>
      </c>
    </row>
    <row r="118" spans="1:24" x14ac:dyDescent="0.2">
      <c r="A118" s="10" t="s">
        <v>237</v>
      </c>
      <c r="B118" s="10" t="s">
        <v>429</v>
      </c>
      <c r="C118" s="13">
        <v>128.7653</v>
      </c>
      <c r="D118" s="13" t="s">
        <v>658</v>
      </c>
      <c r="E118" s="13">
        <v>338.9135</v>
      </c>
      <c r="F118" s="13">
        <v>525.11180000000002</v>
      </c>
      <c r="G118" s="13">
        <v>-6.6642999999999999</v>
      </c>
      <c r="H118" s="13" t="s">
        <v>658</v>
      </c>
      <c r="I118" s="13">
        <v>-9.9459999999999997</v>
      </c>
      <c r="J118" s="13" t="s">
        <v>658</v>
      </c>
      <c r="K118" s="13">
        <v>2.6303999999999998</v>
      </c>
      <c r="L118" s="13">
        <v>4.3219000000000003</v>
      </c>
      <c r="M118" s="13" t="s">
        <v>658</v>
      </c>
      <c r="N118" s="13" t="s">
        <v>658</v>
      </c>
      <c r="O118" s="13" t="s">
        <v>658</v>
      </c>
      <c r="P118" s="13">
        <v>0</v>
      </c>
      <c r="Q118" s="13" t="s">
        <v>658</v>
      </c>
      <c r="R118" s="13">
        <v>0</v>
      </c>
      <c r="S118" s="13">
        <v>-2.9</v>
      </c>
      <c r="T118" s="13">
        <v>5.62</v>
      </c>
      <c r="U118" s="13">
        <v>26.14</v>
      </c>
      <c r="V118" s="13">
        <v>32.5</v>
      </c>
      <c r="W118" s="13">
        <v>46.3</v>
      </c>
      <c r="X118" s="13">
        <v>64</v>
      </c>
    </row>
    <row r="119" spans="1:24" x14ac:dyDescent="0.2">
      <c r="A119" s="10" t="s">
        <v>430</v>
      </c>
      <c r="B119" s="10" t="s">
        <v>431</v>
      </c>
      <c r="C119" s="13">
        <v>32.037100000000002</v>
      </c>
      <c r="D119" s="13">
        <v>40.599699999999999</v>
      </c>
      <c r="E119" s="13">
        <v>40.616799999999998</v>
      </c>
      <c r="F119" s="13">
        <v>40.716799999999999</v>
      </c>
      <c r="G119" s="13">
        <v>40.716799999999999</v>
      </c>
      <c r="H119" s="13">
        <v>58.914299999999997</v>
      </c>
      <c r="I119" s="13">
        <v>58.949300000000001</v>
      </c>
      <c r="J119" s="13">
        <v>58.949300000000001</v>
      </c>
      <c r="K119" s="13">
        <v>58.949300000000001</v>
      </c>
      <c r="L119" s="13">
        <v>58.949300000000001</v>
      </c>
      <c r="M119" s="13">
        <v>58.949300000000001</v>
      </c>
      <c r="N119" s="13">
        <v>58.949300000000001</v>
      </c>
      <c r="O119" s="13">
        <v>58.949300000000001</v>
      </c>
      <c r="P119" s="13">
        <v>58.949300000000001</v>
      </c>
      <c r="Q119" s="13">
        <v>58.949300000000001</v>
      </c>
      <c r="R119" s="13">
        <v>58.949300000000001</v>
      </c>
      <c r="S119" s="13">
        <v>58.949300000000001</v>
      </c>
      <c r="T119" s="13">
        <v>58.949300000000001</v>
      </c>
      <c r="U119" s="13">
        <v>58.949300000000001</v>
      </c>
      <c r="V119" s="13">
        <v>58.949300000000001</v>
      </c>
      <c r="W119" s="13">
        <v>59.003999999999998</v>
      </c>
      <c r="X119" s="13">
        <v>59.106400000000001</v>
      </c>
    </row>
    <row r="120" spans="1:24" x14ac:dyDescent="0.2">
      <c r="A120" s="10" t="s">
        <v>432</v>
      </c>
      <c r="B120" s="10" t="s">
        <v>433</v>
      </c>
      <c r="C120" s="14">
        <v>5</v>
      </c>
      <c r="D120" s="14">
        <v>5</v>
      </c>
      <c r="E120" s="14">
        <v>5</v>
      </c>
      <c r="F120" s="14">
        <v>5</v>
      </c>
      <c r="G120" s="14">
        <v>5</v>
      </c>
      <c r="H120" s="14">
        <v>5</v>
      </c>
      <c r="I120" s="14">
        <v>5</v>
      </c>
      <c r="J120" s="14">
        <v>5</v>
      </c>
      <c r="K120" s="14">
        <v>5</v>
      </c>
      <c r="L120" s="14">
        <v>5</v>
      </c>
      <c r="M120" s="14">
        <v>5</v>
      </c>
      <c r="N120" s="14">
        <v>5</v>
      </c>
      <c r="O120" s="14">
        <v>5</v>
      </c>
      <c r="P120" s="14">
        <v>5</v>
      </c>
      <c r="Q120" s="14">
        <v>5</v>
      </c>
      <c r="R120" s="14">
        <v>5</v>
      </c>
      <c r="S120" s="14">
        <v>5</v>
      </c>
      <c r="T120" s="14">
        <v>5</v>
      </c>
      <c r="U120" s="14">
        <v>5</v>
      </c>
      <c r="V120" s="14">
        <v>5</v>
      </c>
      <c r="W120" s="14">
        <v>5</v>
      </c>
      <c r="X120" s="14">
        <v>5</v>
      </c>
    </row>
    <row r="121" spans="1:24" x14ac:dyDescent="0.2">
      <c r="A121" s="10" t="s">
        <v>357</v>
      </c>
      <c r="B121" s="10" t="s">
        <v>434</v>
      </c>
      <c r="C121" s="13">
        <v>16.766200000000001</v>
      </c>
      <c r="D121" s="13">
        <v>23.8902</v>
      </c>
      <c r="E121" s="13">
        <v>31.6052</v>
      </c>
      <c r="F121" s="13" t="s">
        <v>658</v>
      </c>
      <c r="G121" s="13" t="s">
        <v>658</v>
      </c>
      <c r="H121" s="13" t="s">
        <v>658</v>
      </c>
      <c r="I121" s="13" t="s">
        <v>658</v>
      </c>
      <c r="J121" s="13" t="s">
        <v>658</v>
      </c>
      <c r="K121" s="13" t="s">
        <v>658</v>
      </c>
      <c r="L121" s="13" t="s">
        <v>658</v>
      </c>
      <c r="M121" s="13">
        <v>26.0715</v>
      </c>
      <c r="N121" s="13">
        <v>0</v>
      </c>
      <c r="O121" s="13">
        <v>35.42</v>
      </c>
      <c r="P121" s="13" t="s">
        <v>658</v>
      </c>
      <c r="Q121" s="13" t="s">
        <v>658</v>
      </c>
      <c r="R121" s="13" t="s">
        <v>658</v>
      </c>
      <c r="S121" s="13" t="s">
        <v>658</v>
      </c>
      <c r="T121" s="13" t="s">
        <v>658</v>
      </c>
      <c r="U121" s="13">
        <v>10.220000000000001</v>
      </c>
      <c r="V121" s="13">
        <v>78.3</v>
      </c>
      <c r="W121" s="13">
        <v>96.7</v>
      </c>
      <c r="X121" s="13">
        <v>28.2</v>
      </c>
    </row>
    <row r="122" spans="1:24" x14ac:dyDescent="0.2">
      <c r="A122" s="10" t="s">
        <v>435</v>
      </c>
      <c r="B122" s="10" t="s">
        <v>436</v>
      </c>
      <c r="C122" s="13" t="s">
        <v>658</v>
      </c>
      <c r="D122" s="13" t="s">
        <v>658</v>
      </c>
      <c r="E122" s="13" t="s">
        <v>658</v>
      </c>
      <c r="F122" s="13" t="s">
        <v>658</v>
      </c>
      <c r="G122" s="13" t="s">
        <v>658</v>
      </c>
      <c r="H122" s="13" t="s">
        <v>658</v>
      </c>
      <c r="I122" s="13" t="s">
        <v>658</v>
      </c>
      <c r="J122" s="13">
        <v>58.949300000000001</v>
      </c>
      <c r="K122" s="13">
        <v>58.949300000000001</v>
      </c>
      <c r="L122" s="13">
        <v>58.949300000000001</v>
      </c>
      <c r="M122" s="13" t="s">
        <v>658</v>
      </c>
      <c r="N122" s="13" t="s">
        <v>658</v>
      </c>
      <c r="O122" s="13" t="s">
        <v>658</v>
      </c>
      <c r="P122" s="13" t="s">
        <v>658</v>
      </c>
      <c r="Q122" s="13" t="s">
        <v>658</v>
      </c>
      <c r="R122" s="13" t="s">
        <v>658</v>
      </c>
      <c r="S122" s="13" t="s">
        <v>658</v>
      </c>
      <c r="T122" s="13" t="s">
        <v>658</v>
      </c>
      <c r="U122" s="13" t="s">
        <v>658</v>
      </c>
      <c r="V122" s="13" t="s">
        <v>658</v>
      </c>
      <c r="W122" s="13" t="s">
        <v>658</v>
      </c>
      <c r="X122" s="13" t="s">
        <v>658</v>
      </c>
    </row>
    <row r="123" spans="1:24" x14ac:dyDescent="0.2">
      <c r="A123" s="10" t="s">
        <v>437</v>
      </c>
      <c r="B123" s="10" t="s">
        <v>438</v>
      </c>
      <c r="C123" s="13">
        <v>8.6937999999999995</v>
      </c>
      <c r="D123" s="13">
        <v>8.4977999999999998</v>
      </c>
      <c r="E123" s="13">
        <v>92.603999999999999</v>
      </c>
      <c r="F123" s="13">
        <v>6.5965999999999996</v>
      </c>
      <c r="G123" s="13">
        <v>635.78039999999999</v>
      </c>
      <c r="H123" s="13">
        <v>1290.8951</v>
      </c>
      <c r="I123" s="13">
        <v>1366.9186999999999</v>
      </c>
      <c r="J123" s="13">
        <v>58.7866</v>
      </c>
      <c r="K123" s="13">
        <v>39.3354</v>
      </c>
      <c r="L123" s="13" t="s">
        <v>658</v>
      </c>
      <c r="M123" s="13" t="s">
        <v>658</v>
      </c>
      <c r="N123" s="13" t="s">
        <v>658</v>
      </c>
      <c r="O123" s="13">
        <v>42.19</v>
      </c>
      <c r="P123" s="13" t="s">
        <v>658</v>
      </c>
      <c r="Q123" s="13" t="s">
        <v>658</v>
      </c>
      <c r="R123" s="13" t="s">
        <v>658</v>
      </c>
      <c r="S123" s="13" t="s">
        <v>658</v>
      </c>
      <c r="T123" s="13" t="s">
        <v>658</v>
      </c>
      <c r="U123" s="13" t="s">
        <v>658</v>
      </c>
      <c r="V123" s="13" t="s">
        <v>658</v>
      </c>
      <c r="W123" s="13" t="s">
        <v>658</v>
      </c>
      <c r="X123" s="13" t="s">
        <v>658</v>
      </c>
    </row>
    <row r="124" spans="1:24" x14ac:dyDescent="0.2">
      <c r="A124" s="10" t="s">
        <v>439</v>
      </c>
      <c r="B124" s="10" t="s">
        <v>440</v>
      </c>
      <c r="C124" s="13" t="s">
        <v>658</v>
      </c>
      <c r="D124" s="13" t="s">
        <v>658</v>
      </c>
      <c r="E124" s="13" t="s">
        <v>658</v>
      </c>
      <c r="F124" s="13" t="s">
        <v>658</v>
      </c>
      <c r="G124" s="13" t="s">
        <v>658</v>
      </c>
      <c r="H124" s="13" t="s">
        <v>658</v>
      </c>
      <c r="I124" s="13" t="s">
        <v>658</v>
      </c>
      <c r="J124" s="13" t="s">
        <v>658</v>
      </c>
      <c r="K124" s="13" t="s">
        <v>658</v>
      </c>
      <c r="L124" s="13" t="s">
        <v>658</v>
      </c>
      <c r="M124" s="13">
        <v>-72.238900000000001</v>
      </c>
      <c r="N124" s="13">
        <v>-91.194500000000005</v>
      </c>
      <c r="O124" s="13">
        <v>-87.7</v>
      </c>
      <c r="P124" s="13" t="s">
        <v>658</v>
      </c>
      <c r="Q124" s="13">
        <v>-126.71</v>
      </c>
      <c r="R124" s="13">
        <v>-111.26</v>
      </c>
      <c r="S124" s="13">
        <v>-215.66</v>
      </c>
      <c r="T124" s="13">
        <v>-222.95</v>
      </c>
      <c r="U124" s="13">
        <v>-252.7</v>
      </c>
      <c r="V124" s="13">
        <v>-285.5</v>
      </c>
      <c r="W124" s="13">
        <v>-363.3</v>
      </c>
      <c r="X124" s="13">
        <v>-685.1</v>
      </c>
    </row>
    <row r="125" spans="1:24" x14ac:dyDescent="0.2">
      <c r="A125" s="10" t="s">
        <v>441</v>
      </c>
      <c r="B125" s="10" t="s">
        <v>442</v>
      </c>
      <c r="C125" s="13" t="s">
        <v>658</v>
      </c>
      <c r="D125" s="13" t="s">
        <v>658</v>
      </c>
      <c r="E125" s="13" t="s">
        <v>658</v>
      </c>
      <c r="F125" s="13" t="s">
        <v>658</v>
      </c>
      <c r="G125" s="13" t="s">
        <v>658</v>
      </c>
      <c r="H125" s="13" t="s">
        <v>658</v>
      </c>
      <c r="I125" s="13" t="s">
        <v>658</v>
      </c>
      <c r="J125" s="13">
        <v>47.139299999999999</v>
      </c>
      <c r="K125" s="13">
        <v>79.736400000000003</v>
      </c>
      <c r="L125" s="13">
        <v>101.2792</v>
      </c>
      <c r="M125" s="13">
        <v>143.63130000000001</v>
      </c>
      <c r="N125" s="13">
        <v>173.8604</v>
      </c>
      <c r="O125" s="13">
        <v>180.95</v>
      </c>
      <c r="P125" s="13" t="s">
        <v>658</v>
      </c>
      <c r="Q125" s="13">
        <v>194.58</v>
      </c>
      <c r="R125" s="13">
        <v>248.57</v>
      </c>
      <c r="S125" s="13">
        <v>155.69999999999999</v>
      </c>
      <c r="T125" s="13">
        <v>94.23</v>
      </c>
      <c r="U125" s="13" t="s">
        <v>658</v>
      </c>
      <c r="V125" s="13">
        <v>91.5</v>
      </c>
      <c r="W125" s="13">
        <v>148.80000000000001</v>
      </c>
      <c r="X125" s="13">
        <v>214</v>
      </c>
    </row>
    <row r="126" spans="1:24" x14ac:dyDescent="0.2">
      <c r="A126" s="10" t="s">
        <v>443</v>
      </c>
      <c r="B126" s="10" t="s">
        <v>444</v>
      </c>
      <c r="C126" s="13">
        <v>30.6523</v>
      </c>
      <c r="D126" s="13">
        <v>34.542700000000004</v>
      </c>
      <c r="E126" s="13">
        <v>31.523299999999999</v>
      </c>
      <c r="F126" s="13">
        <v>22.291399999999999</v>
      </c>
      <c r="G126" s="13">
        <v>17.211600000000001</v>
      </c>
      <c r="H126" s="13">
        <v>17.015599999999999</v>
      </c>
      <c r="I126" s="13">
        <v>20.110800000000001</v>
      </c>
      <c r="J126" s="13">
        <v>29.900099999999998</v>
      </c>
      <c r="K126" s="13">
        <v>43.8904</v>
      </c>
      <c r="L126" s="13">
        <v>47.849499999999999</v>
      </c>
      <c r="M126" s="13">
        <v>123.8798</v>
      </c>
      <c r="N126" s="13">
        <v>136.85929999999999</v>
      </c>
      <c r="O126" s="13">
        <v>109.43</v>
      </c>
      <c r="P126" s="13" t="s">
        <v>658</v>
      </c>
      <c r="Q126" s="13">
        <v>145.36000000000001</v>
      </c>
      <c r="R126" s="13">
        <v>125.17</v>
      </c>
      <c r="S126" s="13" t="s">
        <v>658</v>
      </c>
      <c r="T126" s="13" t="s">
        <v>658</v>
      </c>
      <c r="U126" s="13" t="s">
        <v>658</v>
      </c>
      <c r="V126" s="13" t="s">
        <v>658</v>
      </c>
      <c r="W126" s="13" t="s">
        <v>658</v>
      </c>
      <c r="X126" s="13" t="s">
        <v>658</v>
      </c>
    </row>
    <row r="127" spans="1:24" x14ac:dyDescent="0.2">
      <c r="A127" s="10" t="s">
        <v>445</v>
      </c>
      <c r="B127" s="10" t="s">
        <v>446</v>
      </c>
      <c r="C127" s="13" t="s">
        <v>658</v>
      </c>
      <c r="D127" s="13" t="s">
        <v>658</v>
      </c>
      <c r="E127" s="13" t="s">
        <v>658</v>
      </c>
      <c r="F127" s="13" t="s">
        <v>658</v>
      </c>
      <c r="G127" s="13" t="s">
        <v>658</v>
      </c>
      <c r="H127" s="13">
        <v>9.4527999999999999</v>
      </c>
      <c r="I127" s="13" t="s">
        <v>658</v>
      </c>
      <c r="J127" s="13" t="s">
        <v>658</v>
      </c>
      <c r="K127" s="13" t="s">
        <v>658</v>
      </c>
      <c r="L127" s="13" t="s">
        <v>658</v>
      </c>
      <c r="M127" s="13">
        <v>0</v>
      </c>
      <c r="N127" s="13">
        <v>26.2347</v>
      </c>
      <c r="O127" s="13">
        <v>6.44</v>
      </c>
      <c r="P127" s="13" t="s">
        <v>658</v>
      </c>
      <c r="Q127" s="13">
        <v>0</v>
      </c>
      <c r="R127" s="13">
        <v>0</v>
      </c>
      <c r="S127" s="13" t="s">
        <v>658</v>
      </c>
      <c r="T127" s="13" t="s">
        <v>658</v>
      </c>
      <c r="U127" s="13" t="s">
        <v>658</v>
      </c>
      <c r="V127" s="13" t="s">
        <v>658</v>
      </c>
      <c r="W127" s="13" t="s">
        <v>658</v>
      </c>
      <c r="X127" s="13" t="s">
        <v>658</v>
      </c>
    </row>
    <row r="128" spans="1:24" x14ac:dyDescent="0.2">
      <c r="A128" s="10" t="s">
        <v>447</v>
      </c>
      <c r="B128" s="10" t="s">
        <v>448</v>
      </c>
      <c r="C128" s="13" t="s">
        <v>658</v>
      </c>
      <c r="D128" s="13" t="s">
        <v>658</v>
      </c>
      <c r="E128" s="13" t="s">
        <v>658</v>
      </c>
      <c r="F128" s="13" t="s">
        <v>658</v>
      </c>
      <c r="G128" s="13" t="s">
        <v>658</v>
      </c>
      <c r="H128" s="13" t="s">
        <v>658</v>
      </c>
      <c r="I128" s="13" t="s">
        <v>658</v>
      </c>
      <c r="J128" s="13" t="s">
        <v>658</v>
      </c>
      <c r="K128" s="13" t="s">
        <v>658</v>
      </c>
      <c r="L128" s="13" t="s">
        <v>658</v>
      </c>
      <c r="M128" s="13" t="s">
        <v>658</v>
      </c>
      <c r="N128" s="13" t="s">
        <v>658</v>
      </c>
      <c r="O128" s="13" t="s">
        <v>658</v>
      </c>
      <c r="P128" s="13" t="s">
        <v>658</v>
      </c>
      <c r="Q128" s="13" t="s">
        <v>658</v>
      </c>
      <c r="R128" s="13" t="s">
        <v>658</v>
      </c>
      <c r="S128" s="13" t="s">
        <v>658</v>
      </c>
      <c r="T128" s="13" t="s">
        <v>658</v>
      </c>
      <c r="U128" s="13">
        <v>168.68</v>
      </c>
      <c r="V128" s="13">
        <v>139.4</v>
      </c>
      <c r="W128" s="13">
        <v>125.2</v>
      </c>
      <c r="X128" s="13">
        <v>57.1</v>
      </c>
    </row>
    <row r="129" spans="1:24" x14ac:dyDescent="0.2">
      <c r="A129" s="10" t="s">
        <v>449</v>
      </c>
      <c r="B129" s="10" t="s">
        <v>450</v>
      </c>
      <c r="C129" s="14" t="s">
        <v>658</v>
      </c>
      <c r="D129" s="14" t="s">
        <v>658</v>
      </c>
      <c r="E129" s="14" t="s">
        <v>658</v>
      </c>
      <c r="F129" s="14" t="s">
        <v>658</v>
      </c>
      <c r="G129" s="14" t="s">
        <v>658</v>
      </c>
      <c r="H129" s="14" t="s">
        <v>658</v>
      </c>
      <c r="I129" s="14">
        <v>7.5</v>
      </c>
      <c r="J129" s="14">
        <v>8</v>
      </c>
      <c r="K129" s="14">
        <v>8.5</v>
      </c>
      <c r="L129" s="14" t="s">
        <v>658</v>
      </c>
      <c r="M129" s="14">
        <v>9.0299999999999994</v>
      </c>
      <c r="N129" s="14">
        <v>8.0399999999999991</v>
      </c>
      <c r="O129" s="14">
        <v>7.8</v>
      </c>
      <c r="P129" s="14" t="s">
        <v>658</v>
      </c>
      <c r="Q129" s="14" t="s">
        <v>658</v>
      </c>
      <c r="R129" s="14" t="s">
        <v>658</v>
      </c>
      <c r="S129" s="14">
        <v>5.4</v>
      </c>
      <c r="T129" s="14">
        <v>5.35</v>
      </c>
      <c r="U129" s="14">
        <v>5.9</v>
      </c>
      <c r="V129" s="14">
        <v>7.25</v>
      </c>
      <c r="W129" s="14">
        <v>7.15</v>
      </c>
      <c r="X129" s="14" t="s">
        <v>658</v>
      </c>
    </row>
    <row r="130" spans="1:24" x14ac:dyDescent="0.2">
      <c r="A130" s="10" t="s">
        <v>451</v>
      </c>
      <c r="B130" s="10" t="s">
        <v>452</v>
      </c>
      <c r="C130" s="13">
        <v>6.8776999999999999</v>
      </c>
      <c r="D130" s="13">
        <v>15.113</v>
      </c>
      <c r="E130" s="13">
        <v>15.027799999999999</v>
      </c>
      <c r="F130" s="13">
        <v>10.6343</v>
      </c>
      <c r="G130" s="13">
        <v>10.048</v>
      </c>
      <c r="H130" s="13">
        <v>24.403300000000002</v>
      </c>
      <c r="I130" s="13">
        <v>7.9093999999999998</v>
      </c>
      <c r="J130" s="13">
        <v>8.0427999999999997</v>
      </c>
      <c r="K130" s="13">
        <v>8.4403000000000006</v>
      </c>
      <c r="L130" s="13">
        <v>6.9493999999999998</v>
      </c>
      <c r="M130" s="13">
        <v>23.717400000000001</v>
      </c>
      <c r="N130" s="13">
        <v>34.932200000000002</v>
      </c>
      <c r="O130" s="13">
        <v>15.58</v>
      </c>
      <c r="P130" s="13">
        <v>68.81</v>
      </c>
      <c r="Q130" s="13">
        <v>272.97000000000003</v>
      </c>
      <c r="R130" s="13">
        <v>276</v>
      </c>
      <c r="S130" s="13">
        <v>205.32</v>
      </c>
      <c r="T130" s="13">
        <v>160.94999999999999</v>
      </c>
      <c r="U130" s="13">
        <v>158.04</v>
      </c>
      <c r="V130" s="13">
        <v>49.1</v>
      </c>
      <c r="W130" s="13">
        <v>38.6</v>
      </c>
      <c r="X130" s="13">
        <v>70.5</v>
      </c>
    </row>
    <row r="131" spans="1:24" x14ac:dyDescent="0.2">
      <c r="A131" s="10" t="s">
        <v>453</v>
      </c>
      <c r="B131" s="10" t="s">
        <v>454</v>
      </c>
      <c r="C131" s="13" t="s">
        <v>658</v>
      </c>
      <c r="D131" s="13" t="s">
        <v>658</v>
      </c>
      <c r="E131" s="13" t="s">
        <v>658</v>
      </c>
      <c r="F131" s="13" t="s">
        <v>658</v>
      </c>
      <c r="G131" s="13" t="s">
        <v>658</v>
      </c>
      <c r="H131" s="13" t="s">
        <v>658</v>
      </c>
      <c r="I131" s="13" t="s">
        <v>658</v>
      </c>
      <c r="J131" s="13" t="s">
        <v>658</v>
      </c>
      <c r="K131" s="13" t="s">
        <v>658</v>
      </c>
      <c r="L131" s="13" t="s">
        <v>658</v>
      </c>
      <c r="M131" s="13" t="s">
        <v>658</v>
      </c>
      <c r="N131" s="13" t="s">
        <v>658</v>
      </c>
      <c r="O131" s="13" t="s">
        <v>658</v>
      </c>
      <c r="P131" s="13" t="s">
        <v>658</v>
      </c>
      <c r="Q131" s="13" t="s">
        <v>658</v>
      </c>
      <c r="R131" s="13" t="s">
        <v>658</v>
      </c>
      <c r="S131" s="13" t="s">
        <v>658</v>
      </c>
      <c r="T131" s="13" t="s">
        <v>658</v>
      </c>
      <c r="U131" s="13">
        <v>751.73</v>
      </c>
      <c r="V131" s="13" t="s">
        <v>658</v>
      </c>
      <c r="W131" s="13" t="s">
        <v>658</v>
      </c>
      <c r="X131" s="13" t="s">
        <v>658</v>
      </c>
    </row>
    <row r="132" spans="1:24" x14ac:dyDescent="0.2">
      <c r="A132" s="10" t="s">
        <v>299</v>
      </c>
      <c r="B132" s="10" t="s">
        <v>455</v>
      </c>
      <c r="C132" s="13">
        <v>19.589300000000001</v>
      </c>
      <c r="D132" s="13" t="s">
        <v>658</v>
      </c>
      <c r="E132" s="13">
        <v>107.95529999999999</v>
      </c>
      <c r="F132" s="13">
        <v>118.9141</v>
      </c>
      <c r="G132" s="13" t="s">
        <v>658</v>
      </c>
      <c r="H132" s="13" t="s">
        <v>658</v>
      </c>
      <c r="I132" s="13" t="s">
        <v>658</v>
      </c>
      <c r="J132" s="13">
        <v>59.920400000000001</v>
      </c>
      <c r="K132" s="13">
        <v>33.770699999999998</v>
      </c>
      <c r="L132" s="13">
        <v>33.6218</v>
      </c>
      <c r="M132" s="13">
        <v>85.4041</v>
      </c>
      <c r="N132" s="13">
        <v>96.686400000000006</v>
      </c>
      <c r="O132" s="13">
        <v>118.49</v>
      </c>
      <c r="P132" s="13">
        <v>105.26</v>
      </c>
      <c r="Q132" s="13">
        <v>186.38</v>
      </c>
      <c r="R132" s="13">
        <v>188.43</v>
      </c>
      <c r="S132" s="13">
        <v>158.78</v>
      </c>
      <c r="T132" s="13">
        <v>96.34</v>
      </c>
      <c r="U132" s="13">
        <v>73.83</v>
      </c>
      <c r="V132" s="13">
        <v>54.3</v>
      </c>
      <c r="W132" s="13">
        <v>50.6</v>
      </c>
      <c r="X132" s="13">
        <v>60.2</v>
      </c>
    </row>
    <row r="133" spans="1:24" x14ac:dyDescent="0.2">
      <c r="A133" s="10" t="s">
        <v>456</v>
      </c>
      <c r="B133" s="10" t="s">
        <v>457</v>
      </c>
      <c r="C133" s="13" t="s">
        <v>658</v>
      </c>
      <c r="D133" s="13" t="s">
        <v>658</v>
      </c>
      <c r="E133" s="13" t="s">
        <v>658</v>
      </c>
      <c r="F133" s="13" t="s">
        <v>658</v>
      </c>
      <c r="G133" s="13" t="s">
        <v>658</v>
      </c>
      <c r="H133" s="13" t="s">
        <v>658</v>
      </c>
      <c r="I133" s="13" t="s">
        <v>658</v>
      </c>
      <c r="J133" s="13" t="s">
        <v>658</v>
      </c>
      <c r="K133" s="13" t="s">
        <v>658</v>
      </c>
      <c r="L133" s="13" t="s">
        <v>658</v>
      </c>
      <c r="M133" s="13" t="s">
        <v>658</v>
      </c>
      <c r="N133" s="13" t="s">
        <v>658</v>
      </c>
      <c r="O133" s="13" t="s">
        <v>658</v>
      </c>
      <c r="P133" s="13" t="s">
        <v>658</v>
      </c>
      <c r="Q133" s="13">
        <v>11.91</v>
      </c>
      <c r="R133" s="13">
        <v>21.43</v>
      </c>
      <c r="S133" s="13">
        <v>10.71</v>
      </c>
      <c r="T133" s="13">
        <v>5.68</v>
      </c>
      <c r="U133" s="13">
        <v>0</v>
      </c>
      <c r="V133" s="13">
        <v>34.5</v>
      </c>
      <c r="W133" s="13">
        <v>53</v>
      </c>
      <c r="X133" s="13">
        <v>54.8</v>
      </c>
    </row>
    <row r="134" spans="1:24" x14ac:dyDescent="0.2">
      <c r="A134" s="10" t="s">
        <v>239</v>
      </c>
      <c r="B134" s="10" t="s">
        <v>458</v>
      </c>
      <c r="C134" s="13" t="s">
        <v>658</v>
      </c>
      <c r="D134" s="13" t="s">
        <v>658</v>
      </c>
      <c r="E134" s="13" t="s">
        <v>658</v>
      </c>
      <c r="F134" s="13" t="s">
        <v>658</v>
      </c>
      <c r="G134" s="13" t="s">
        <v>658</v>
      </c>
      <c r="H134" s="13" t="s">
        <v>658</v>
      </c>
      <c r="I134" s="13" t="s">
        <v>658</v>
      </c>
      <c r="J134" s="13" t="s">
        <v>658</v>
      </c>
      <c r="K134" s="13" t="s">
        <v>658</v>
      </c>
      <c r="L134" s="13" t="s">
        <v>658</v>
      </c>
      <c r="M134" s="13" t="s">
        <v>658</v>
      </c>
      <c r="N134" s="13" t="s">
        <v>658</v>
      </c>
      <c r="O134" s="13" t="s">
        <v>658</v>
      </c>
      <c r="P134" s="13" t="s">
        <v>658</v>
      </c>
      <c r="Q134" s="13" t="s">
        <v>658</v>
      </c>
      <c r="R134" s="13" t="s">
        <v>658</v>
      </c>
      <c r="S134" s="13">
        <v>6784.33</v>
      </c>
      <c r="T134" s="13">
        <v>6857.7</v>
      </c>
      <c r="U134" s="13" t="s">
        <v>658</v>
      </c>
      <c r="V134" s="13" t="s">
        <v>658</v>
      </c>
      <c r="W134" s="13">
        <v>11912.2</v>
      </c>
      <c r="X134" s="13" t="s">
        <v>658</v>
      </c>
    </row>
    <row r="135" spans="1:24" x14ac:dyDescent="0.2">
      <c r="A135" s="10" t="s">
        <v>459</v>
      </c>
      <c r="B135" s="10" t="s">
        <v>460</v>
      </c>
      <c r="C135" s="13" t="s">
        <v>658</v>
      </c>
      <c r="D135" s="13" t="s">
        <v>658</v>
      </c>
      <c r="E135" s="13" t="s">
        <v>658</v>
      </c>
      <c r="F135" s="13" t="s">
        <v>658</v>
      </c>
      <c r="G135" s="13" t="s">
        <v>658</v>
      </c>
      <c r="H135" s="13" t="s">
        <v>658</v>
      </c>
      <c r="I135" s="13" t="s">
        <v>658</v>
      </c>
      <c r="J135" s="13" t="s">
        <v>658</v>
      </c>
      <c r="K135" s="13" t="s">
        <v>658</v>
      </c>
      <c r="L135" s="13" t="s">
        <v>658</v>
      </c>
      <c r="M135" s="13">
        <v>1.4838</v>
      </c>
      <c r="N135" s="13">
        <v>1.6173</v>
      </c>
      <c r="O135" s="13">
        <v>0</v>
      </c>
      <c r="P135" s="13" t="s">
        <v>658</v>
      </c>
      <c r="Q135" s="13" t="s">
        <v>658</v>
      </c>
      <c r="R135" s="13" t="s">
        <v>658</v>
      </c>
      <c r="S135" s="13" t="s">
        <v>658</v>
      </c>
      <c r="T135" s="13" t="s">
        <v>658</v>
      </c>
      <c r="U135" s="13" t="s">
        <v>658</v>
      </c>
      <c r="V135" s="13" t="s">
        <v>658</v>
      </c>
      <c r="W135" s="13" t="s">
        <v>658</v>
      </c>
      <c r="X135" s="13" t="s">
        <v>658</v>
      </c>
    </row>
    <row r="136" spans="1:24" x14ac:dyDescent="0.2">
      <c r="A136" s="10" t="s">
        <v>461</v>
      </c>
      <c r="B136" s="10" t="s">
        <v>462</v>
      </c>
      <c r="C136" s="13" t="s">
        <v>658</v>
      </c>
      <c r="D136" s="13" t="s">
        <v>658</v>
      </c>
      <c r="E136" s="13" t="s">
        <v>658</v>
      </c>
      <c r="F136" s="13" t="s">
        <v>658</v>
      </c>
      <c r="G136" s="13" t="s">
        <v>658</v>
      </c>
      <c r="H136" s="13" t="s">
        <v>658</v>
      </c>
      <c r="I136" s="13">
        <v>38.738500000000002</v>
      </c>
      <c r="J136" s="13">
        <v>44.544899999999998</v>
      </c>
      <c r="K136" s="13">
        <v>48.749000000000002</v>
      </c>
      <c r="L136" s="13" t="s">
        <v>658</v>
      </c>
      <c r="M136" s="13">
        <v>73.722700000000003</v>
      </c>
      <c r="N136" s="13">
        <v>92.811800000000005</v>
      </c>
      <c r="O136" s="13">
        <v>87.7</v>
      </c>
      <c r="P136" s="13" t="s">
        <v>658</v>
      </c>
      <c r="Q136" s="13">
        <v>126.71</v>
      </c>
      <c r="R136" s="13">
        <v>111.26</v>
      </c>
      <c r="S136" s="13">
        <v>215.66</v>
      </c>
      <c r="T136" s="13">
        <v>222.95</v>
      </c>
      <c r="U136" s="13">
        <v>252.7</v>
      </c>
      <c r="V136" s="13">
        <v>285.5</v>
      </c>
      <c r="W136" s="13">
        <v>363.3</v>
      </c>
      <c r="X136" s="13">
        <v>685.1</v>
      </c>
    </row>
    <row r="137" spans="1:24" x14ac:dyDescent="0.2">
      <c r="A137" s="10" t="s">
        <v>463</v>
      </c>
      <c r="B137" s="10" t="s">
        <v>464</v>
      </c>
      <c r="C137" s="13" t="s">
        <v>658</v>
      </c>
      <c r="D137" s="13" t="s">
        <v>658</v>
      </c>
      <c r="E137" s="13" t="s">
        <v>658</v>
      </c>
      <c r="F137" s="13" t="s">
        <v>658</v>
      </c>
      <c r="G137" s="13" t="s">
        <v>658</v>
      </c>
      <c r="H137" s="13" t="s">
        <v>658</v>
      </c>
      <c r="I137" s="13" t="s">
        <v>658</v>
      </c>
      <c r="J137" s="13" t="s">
        <v>658</v>
      </c>
      <c r="K137" s="13" t="s">
        <v>658</v>
      </c>
      <c r="L137" s="13" t="s">
        <v>658</v>
      </c>
      <c r="M137" s="13" t="s">
        <v>658</v>
      </c>
      <c r="N137" s="13" t="s">
        <v>658</v>
      </c>
      <c r="O137" s="13" t="s">
        <v>658</v>
      </c>
      <c r="P137" s="13" t="s">
        <v>658</v>
      </c>
      <c r="Q137" s="13" t="s">
        <v>658</v>
      </c>
      <c r="R137" s="13" t="s">
        <v>658</v>
      </c>
      <c r="S137" s="13" t="s">
        <v>658</v>
      </c>
      <c r="T137" s="13" t="s">
        <v>658</v>
      </c>
      <c r="U137" s="13">
        <v>45.95</v>
      </c>
      <c r="V137" s="13" t="s">
        <v>658</v>
      </c>
      <c r="W137" s="13" t="s">
        <v>658</v>
      </c>
      <c r="X137" s="13" t="s">
        <v>658</v>
      </c>
    </row>
    <row r="138" spans="1:24" x14ac:dyDescent="0.2">
      <c r="A138" s="10" t="s">
        <v>330</v>
      </c>
      <c r="B138" s="10" t="s">
        <v>465</v>
      </c>
      <c r="C138" s="13" t="s">
        <v>658</v>
      </c>
      <c r="D138" s="13">
        <v>957.24789999999996</v>
      </c>
      <c r="E138" s="13" t="s">
        <v>658</v>
      </c>
      <c r="F138" s="13">
        <v>184.2911</v>
      </c>
      <c r="G138" s="13" t="s">
        <v>658</v>
      </c>
      <c r="H138" s="13" t="s">
        <v>658</v>
      </c>
      <c r="I138" s="13">
        <v>7.4858000000000002</v>
      </c>
      <c r="J138" s="13">
        <v>495.88150000000002</v>
      </c>
      <c r="K138" s="13">
        <v>193.00700000000001</v>
      </c>
      <c r="L138" s="13">
        <v>332.79250000000002</v>
      </c>
      <c r="M138" s="13" t="s">
        <v>658</v>
      </c>
      <c r="N138" s="13" t="s">
        <v>658</v>
      </c>
      <c r="O138" s="13" t="s">
        <v>658</v>
      </c>
      <c r="P138" s="13" t="s">
        <v>658</v>
      </c>
      <c r="Q138" s="13" t="s">
        <v>658</v>
      </c>
      <c r="R138" s="13" t="s">
        <v>658</v>
      </c>
      <c r="S138" s="13" t="s">
        <v>658</v>
      </c>
      <c r="T138" s="13" t="s">
        <v>658</v>
      </c>
      <c r="U138" s="13" t="s">
        <v>658</v>
      </c>
      <c r="V138" s="13" t="s">
        <v>658</v>
      </c>
      <c r="W138" s="13" t="s">
        <v>658</v>
      </c>
      <c r="X138" s="13" t="s">
        <v>658</v>
      </c>
    </row>
    <row r="139" spans="1:24" x14ac:dyDescent="0.2">
      <c r="A139" s="10" t="s">
        <v>466</v>
      </c>
      <c r="B139" s="10" t="s">
        <v>467</v>
      </c>
      <c r="C139" s="13" t="s">
        <v>658</v>
      </c>
      <c r="D139" s="13" t="s">
        <v>658</v>
      </c>
      <c r="E139" s="13" t="s">
        <v>658</v>
      </c>
      <c r="F139" s="13" t="s">
        <v>658</v>
      </c>
      <c r="G139" s="13" t="s">
        <v>658</v>
      </c>
      <c r="H139" s="13" t="s">
        <v>658</v>
      </c>
      <c r="I139" s="13" t="s">
        <v>658</v>
      </c>
      <c r="J139" s="13" t="s">
        <v>658</v>
      </c>
      <c r="K139" s="13" t="s">
        <v>658</v>
      </c>
      <c r="L139" s="13" t="s">
        <v>658</v>
      </c>
      <c r="M139" s="13" t="s">
        <v>658</v>
      </c>
      <c r="N139" s="13" t="s">
        <v>658</v>
      </c>
      <c r="O139" s="13" t="s">
        <v>658</v>
      </c>
      <c r="P139" s="13">
        <v>12.4</v>
      </c>
      <c r="Q139" s="13" t="s">
        <v>658</v>
      </c>
      <c r="R139" s="13" t="s">
        <v>658</v>
      </c>
      <c r="S139" s="13">
        <v>14.84</v>
      </c>
      <c r="T139" s="13">
        <v>14.55</v>
      </c>
      <c r="U139" s="13">
        <v>152.06</v>
      </c>
      <c r="V139" s="13">
        <v>69</v>
      </c>
      <c r="W139" s="13">
        <v>18.100000000000001</v>
      </c>
      <c r="X139" s="13">
        <v>122.4</v>
      </c>
    </row>
    <row r="140" spans="1:24" x14ac:dyDescent="0.2">
      <c r="A140" s="10" t="s">
        <v>468</v>
      </c>
      <c r="B140" s="10" t="s">
        <v>469</v>
      </c>
      <c r="C140" s="13" t="s">
        <v>658</v>
      </c>
      <c r="D140" s="13" t="s">
        <v>658</v>
      </c>
      <c r="E140" s="13" t="s">
        <v>658</v>
      </c>
      <c r="F140" s="13" t="s">
        <v>658</v>
      </c>
      <c r="G140" s="13" t="s">
        <v>658</v>
      </c>
      <c r="H140" s="13" t="s">
        <v>658</v>
      </c>
      <c r="I140" s="13" t="s">
        <v>658</v>
      </c>
      <c r="J140" s="13" t="s">
        <v>658</v>
      </c>
      <c r="K140" s="13" t="s">
        <v>658</v>
      </c>
      <c r="L140" s="13" t="s">
        <v>658</v>
      </c>
      <c r="M140" s="13" t="s">
        <v>658</v>
      </c>
      <c r="N140" s="13" t="s">
        <v>658</v>
      </c>
      <c r="O140" s="13">
        <v>0.32</v>
      </c>
      <c r="P140" s="13" t="s">
        <v>658</v>
      </c>
      <c r="Q140" s="13">
        <v>2.83</v>
      </c>
      <c r="R140" s="13">
        <v>0.78</v>
      </c>
      <c r="S140" s="13">
        <v>3.95</v>
      </c>
      <c r="T140" s="13">
        <v>6.25</v>
      </c>
      <c r="U140" s="13">
        <v>4.6399999999999997</v>
      </c>
      <c r="V140" s="13">
        <v>7.9</v>
      </c>
      <c r="W140" s="13" t="s">
        <v>658</v>
      </c>
      <c r="X140" s="13">
        <v>9.5</v>
      </c>
    </row>
    <row r="141" spans="1:24" x14ac:dyDescent="0.2">
      <c r="A141" s="10" t="s">
        <v>470</v>
      </c>
      <c r="B141" s="10" t="s">
        <v>471</v>
      </c>
      <c r="C141" s="13" t="s">
        <v>658</v>
      </c>
      <c r="D141" s="13" t="s">
        <v>658</v>
      </c>
      <c r="E141" s="13" t="s">
        <v>658</v>
      </c>
      <c r="F141" s="13" t="s">
        <v>658</v>
      </c>
      <c r="G141" s="13" t="s">
        <v>658</v>
      </c>
      <c r="H141" s="13" t="s">
        <v>658</v>
      </c>
      <c r="I141" s="13" t="s">
        <v>658</v>
      </c>
      <c r="J141" s="13" t="s">
        <v>658</v>
      </c>
      <c r="K141" s="13" t="s">
        <v>658</v>
      </c>
      <c r="L141" s="13" t="s">
        <v>658</v>
      </c>
      <c r="M141" s="13" t="s">
        <v>658</v>
      </c>
      <c r="N141" s="13" t="s">
        <v>658</v>
      </c>
      <c r="O141" s="13" t="s">
        <v>658</v>
      </c>
      <c r="P141" s="13" t="s">
        <v>658</v>
      </c>
      <c r="Q141" s="13" t="s">
        <v>658</v>
      </c>
      <c r="R141" s="13" t="s">
        <v>658</v>
      </c>
      <c r="S141" s="13" t="s">
        <v>658</v>
      </c>
      <c r="T141" s="13" t="s">
        <v>658</v>
      </c>
      <c r="U141" s="13">
        <v>50</v>
      </c>
      <c r="V141" s="13" t="s">
        <v>658</v>
      </c>
      <c r="W141" s="13" t="s">
        <v>658</v>
      </c>
      <c r="X141" s="13" t="s">
        <v>658</v>
      </c>
    </row>
    <row r="142" spans="1:24" x14ac:dyDescent="0.2">
      <c r="A142" s="10" t="s">
        <v>255</v>
      </c>
      <c r="B142" s="10" t="s">
        <v>472</v>
      </c>
      <c r="C142" s="13" t="s">
        <v>658</v>
      </c>
      <c r="D142" s="13" t="s">
        <v>658</v>
      </c>
      <c r="E142" s="13" t="s">
        <v>658</v>
      </c>
      <c r="F142" s="13" t="s">
        <v>658</v>
      </c>
      <c r="G142" s="13" t="s">
        <v>658</v>
      </c>
      <c r="H142" s="13" t="s">
        <v>658</v>
      </c>
      <c r="I142" s="13" t="s">
        <v>658</v>
      </c>
      <c r="J142" s="13" t="s">
        <v>658</v>
      </c>
      <c r="K142" s="13" t="s">
        <v>658</v>
      </c>
      <c r="L142" s="13" t="s">
        <v>658</v>
      </c>
      <c r="M142" s="13" t="s">
        <v>658</v>
      </c>
      <c r="N142" s="13" t="s">
        <v>658</v>
      </c>
      <c r="O142" s="13">
        <v>7376.8</v>
      </c>
      <c r="P142" s="13" t="s">
        <v>658</v>
      </c>
      <c r="Q142" s="13" t="s">
        <v>658</v>
      </c>
      <c r="R142" s="13" t="s">
        <v>658</v>
      </c>
      <c r="S142" s="13" t="s">
        <v>658</v>
      </c>
      <c r="T142" s="13" t="s">
        <v>658</v>
      </c>
      <c r="U142" s="13" t="s">
        <v>658</v>
      </c>
      <c r="V142" s="13" t="s">
        <v>658</v>
      </c>
      <c r="W142" s="13" t="s">
        <v>658</v>
      </c>
      <c r="X142" s="13" t="s">
        <v>658</v>
      </c>
    </row>
    <row r="143" spans="1:24" x14ac:dyDescent="0.2">
      <c r="A143" s="10" t="s">
        <v>473</v>
      </c>
      <c r="B143" s="10" t="s">
        <v>474</v>
      </c>
      <c r="C143" s="13" t="s">
        <v>658</v>
      </c>
      <c r="D143" s="13" t="s">
        <v>658</v>
      </c>
      <c r="E143" s="13" t="s">
        <v>658</v>
      </c>
      <c r="F143" s="13" t="s">
        <v>658</v>
      </c>
      <c r="G143" s="13" t="s">
        <v>658</v>
      </c>
      <c r="H143" s="13" t="s">
        <v>658</v>
      </c>
      <c r="I143" s="13" t="s">
        <v>658</v>
      </c>
      <c r="J143" s="13" t="s">
        <v>658</v>
      </c>
      <c r="K143" s="13" t="s">
        <v>658</v>
      </c>
      <c r="L143" s="13" t="s">
        <v>658</v>
      </c>
      <c r="M143" s="13">
        <v>6.2229999999999999</v>
      </c>
      <c r="N143" s="13">
        <v>0</v>
      </c>
      <c r="O143" s="13" t="s">
        <v>658</v>
      </c>
      <c r="P143" s="13" t="s">
        <v>658</v>
      </c>
      <c r="Q143" s="13" t="s">
        <v>658</v>
      </c>
      <c r="R143" s="13" t="s">
        <v>658</v>
      </c>
      <c r="S143" s="13" t="s">
        <v>658</v>
      </c>
      <c r="T143" s="13" t="s">
        <v>658</v>
      </c>
      <c r="U143" s="13" t="s">
        <v>658</v>
      </c>
      <c r="V143" s="13" t="s">
        <v>658</v>
      </c>
      <c r="W143" s="13" t="s">
        <v>658</v>
      </c>
      <c r="X143" s="13" t="s">
        <v>658</v>
      </c>
    </row>
    <row r="144" spans="1:24" x14ac:dyDescent="0.2">
      <c r="A144" s="10" t="s">
        <v>475</v>
      </c>
      <c r="B144" s="10" t="s">
        <v>476</v>
      </c>
      <c r="C144" s="13" t="s">
        <v>658</v>
      </c>
      <c r="D144" s="13" t="s">
        <v>658</v>
      </c>
      <c r="E144" s="13" t="s">
        <v>658</v>
      </c>
      <c r="F144" s="13" t="s">
        <v>658</v>
      </c>
      <c r="G144" s="13" t="s">
        <v>658</v>
      </c>
      <c r="H144" s="13" t="s">
        <v>658</v>
      </c>
      <c r="I144" s="13" t="s">
        <v>658</v>
      </c>
      <c r="J144" s="13" t="s">
        <v>658</v>
      </c>
      <c r="K144" s="13" t="s">
        <v>658</v>
      </c>
      <c r="L144" s="13" t="s">
        <v>658</v>
      </c>
      <c r="M144" s="13" t="s">
        <v>658</v>
      </c>
      <c r="N144" s="13" t="s">
        <v>658</v>
      </c>
      <c r="O144" s="13">
        <v>6.58</v>
      </c>
      <c r="P144" s="13">
        <v>7.03</v>
      </c>
      <c r="Q144" s="13" t="s">
        <v>658</v>
      </c>
      <c r="R144" s="13">
        <v>24.07</v>
      </c>
      <c r="S144" s="13">
        <v>6.58</v>
      </c>
      <c r="T144" s="13">
        <v>6.76</v>
      </c>
      <c r="U144" s="13">
        <v>0</v>
      </c>
      <c r="V144" s="13" t="s">
        <v>658</v>
      </c>
      <c r="W144" s="13" t="s">
        <v>658</v>
      </c>
      <c r="X144" s="13" t="s">
        <v>658</v>
      </c>
    </row>
    <row r="145" spans="1:24" x14ac:dyDescent="0.2">
      <c r="A145" s="10" t="s">
        <v>477</v>
      </c>
      <c r="B145" s="10" t="s">
        <v>478</v>
      </c>
      <c r="C145" s="13" t="s">
        <v>658</v>
      </c>
      <c r="D145" s="13" t="s">
        <v>658</v>
      </c>
      <c r="E145" s="13" t="s">
        <v>658</v>
      </c>
      <c r="F145" s="13" t="s">
        <v>658</v>
      </c>
      <c r="G145" s="13" t="s">
        <v>658</v>
      </c>
      <c r="H145" s="13" t="s">
        <v>658</v>
      </c>
      <c r="I145" s="13" t="s">
        <v>658</v>
      </c>
      <c r="J145" s="13" t="s">
        <v>658</v>
      </c>
      <c r="K145" s="13" t="s">
        <v>658</v>
      </c>
      <c r="L145" s="13" t="s">
        <v>658</v>
      </c>
      <c r="M145" s="13" t="s">
        <v>658</v>
      </c>
      <c r="N145" s="13" t="s">
        <v>658</v>
      </c>
      <c r="O145" s="13" t="s">
        <v>658</v>
      </c>
      <c r="P145" s="13" t="s">
        <v>658</v>
      </c>
      <c r="Q145" s="13" t="s">
        <v>658</v>
      </c>
      <c r="R145" s="13" t="s">
        <v>658</v>
      </c>
      <c r="S145" s="13" t="s">
        <v>658</v>
      </c>
      <c r="T145" s="13" t="s">
        <v>658</v>
      </c>
      <c r="U145" s="13">
        <v>0</v>
      </c>
      <c r="V145" s="13">
        <v>0</v>
      </c>
      <c r="W145" s="13">
        <v>0</v>
      </c>
      <c r="X145" s="13">
        <v>779.9</v>
      </c>
    </row>
    <row r="146" spans="1:24" x14ac:dyDescent="0.2">
      <c r="A146" s="10" t="s">
        <v>479</v>
      </c>
      <c r="B146" s="10" t="s">
        <v>480</v>
      </c>
      <c r="C146" s="14" t="s">
        <v>658</v>
      </c>
      <c r="D146" s="14" t="s">
        <v>658</v>
      </c>
      <c r="E146" s="14" t="s">
        <v>658</v>
      </c>
      <c r="F146" s="14" t="s">
        <v>658</v>
      </c>
      <c r="G146" s="14" t="s">
        <v>658</v>
      </c>
      <c r="H146" s="14" t="s">
        <v>658</v>
      </c>
      <c r="I146" s="14" t="s">
        <v>658</v>
      </c>
      <c r="J146" s="14" t="s">
        <v>658</v>
      </c>
      <c r="K146" s="14" t="s">
        <v>658</v>
      </c>
      <c r="L146" s="14">
        <v>4344</v>
      </c>
      <c r="M146" s="14" t="s">
        <v>658</v>
      </c>
      <c r="N146" s="14" t="s">
        <v>658</v>
      </c>
      <c r="O146" s="14" t="s">
        <v>658</v>
      </c>
      <c r="P146" s="14" t="s">
        <v>658</v>
      </c>
      <c r="Q146" s="14">
        <v>9700</v>
      </c>
      <c r="R146" s="14">
        <v>5159</v>
      </c>
      <c r="S146" s="14">
        <v>5545</v>
      </c>
      <c r="T146" s="14">
        <v>6072</v>
      </c>
      <c r="U146" s="14">
        <v>6459</v>
      </c>
      <c r="V146" s="14">
        <v>6789</v>
      </c>
      <c r="W146" s="14">
        <v>6825</v>
      </c>
      <c r="X146" s="14">
        <v>4962</v>
      </c>
    </row>
    <row r="147" spans="1:24" x14ac:dyDescent="0.2">
      <c r="A147" s="10" t="s">
        <v>481</v>
      </c>
      <c r="B147" s="10" t="s">
        <v>482</v>
      </c>
      <c r="C147" s="13" t="s">
        <v>658</v>
      </c>
      <c r="D147" s="13" t="s">
        <v>658</v>
      </c>
      <c r="E147" s="13" t="s">
        <v>658</v>
      </c>
      <c r="F147" s="13" t="s">
        <v>658</v>
      </c>
      <c r="G147" s="13" t="s">
        <v>658</v>
      </c>
      <c r="H147" s="13" t="s">
        <v>658</v>
      </c>
      <c r="I147" s="13" t="s">
        <v>658</v>
      </c>
      <c r="J147" s="13">
        <v>9.5614000000000008</v>
      </c>
      <c r="K147" s="13">
        <v>9.3861000000000008</v>
      </c>
      <c r="L147" s="13" t="s">
        <v>658</v>
      </c>
      <c r="M147" s="13">
        <v>13.314</v>
      </c>
      <c r="N147" s="13">
        <v>11.0413</v>
      </c>
      <c r="O147" s="13">
        <v>18.28</v>
      </c>
      <c r="P147" s="13" t="s">
        <v>658</v>
      </c>
      <c r="Q147" s="13" t="s">
        <v>658</v>
      </c>
      <c r="R147" s="13" t="s">
        <v>658</v>
      </c>
      <c r="S147" s="13" t="s">
        <v>658</v>
      </c>
      <c r="T147" s="13" t="s">
        <v>658</v>
      </c>
      <c r="U147" s="13" t="s">
        <v>658</v>
      </c>
      <c r="V147" s="13" t="s">
        <v>658</v>
      </c>
      <c r="W147" s="13" t="s">
        <v>658</v>
      </c>
      <c r="X147" s="13" t="s">
        <v>658</v>
      </c>
    </row>
    <row r="148" spans="1:24" x14ac:dyDescent="0.2">
      <c r="A148" s="10" t="s">
        <v>483</v>
      </c>
      <c r="B148" s="10" t="s">
        <v>484</v>
      </c>
      <c r="C148" s="13" t="s">
        <v>658</v>
      </c>
      <c r="D148" s="13" t="s">
        <v>658</v>
      </c>
      <c r="E148" s="13" t="s">
        <v>658</v>
      </c>
      <c r="F148" s="13" t="s">
        <v>658</v>
      </c>
      <c r="G148" s="13" t="s">
        <v>658</v>
      </c>
      <c r="H148" s="13" t="s">
        <v>658</v>
      </c>
      <c r="I148" s="13" t="s">
        <v>658</v>
      </c>
      <c r="J148" s="13">
        <v>-9.5614000000000008</v>
      </c>
      <c r="K148" s="13">
        <v>-9.3861000000000008</v>
      </c>
      <c r="L148" s="13" t="s">
        <v>658</v>
      </c>
      <c r="M148" s="13">
        <v>-13.314</v>
      </c>
      <c r="N148" s="13">
        <v>-11.0413</v>
      </c>
      <c r="O148" s="13">
        <v>-18.28</v>
      </c>
      <c r="P148" s="13" t="s">
        <v>658</v>
      </c>
      <c r="Q148" s="13">
        <v>-18.77</v>
      </c>
      <c r="R148" s="13">
        <v>-18.5</v>
      </c>
      <c r="S148" s="13">
        <v>-40.5</v>
      </c>
      <c r="T148" s="13">
        <v>-20.22</v>
      </c>
      <c r="U148" s="13">
        <v>-40.61</v>
      </c>
      <c r="V148" s="13">
        <v>-24</v>
      </c>
      <c r="W148" s="13">
        <v>0</v>
      </c>
      <c r="X148" s="13">
        <v>-61.2</v>
      </c>
    </row>
    <row r="149" spans="1:24" x14ac:dyDescent="0.2">
      <c r="A149" s="10" t="s">
        <v>485</v>
      </c>
      <c r="B149" s="10" t="s">
        <v>486</v>
      </c>
      <c r="C149" s="13" t="s">
        <v>658</v>
      </c>
      <c r="D149" s="13" t="s">
        <v>658</v>
      </c>
      <c r="E149" s="13" t="s">
        <v>658</v>
      </c>
      <c r="F149" s="13" t="s">
        <v>658</v>
      </c>
      <c r="G149" s="13" t="s">
        <v>658</v>
      </c>
      <c r="H149" s="13" t="s">
        <v>658</v>
      </c>
      <c r="I149" s="13" t="s">
        <v>658</v>
      </c>
      <c r="J149" s="13" t="s">
        <v>658</v>
      </c>
      <c r="K149" s="13" t="s">
        <v>658</v>
      </c>
      <c r="L149" s="13" t="s">
        <v>658</v>
      </c>
      <c r="M149" s="13" t="s">
        <v>658</v>
      </c>
      <c r="N149" s="13" t="s">
        <v>658</v>
      </c>
      <c r="O149" s="13" t="s">
        <v>658</v>
      </c>
      <c r="P149" s="13">
        <v>309.64999999999998</v>
      </c>
      <c r="Q149" s="13" t="s">
        <v>658</v>
      </c>
      <c r="R149" s="13">
        <v>304.45</v>
      </c>
      <c r="S149" s="13">
        <v>324.45</v>
      </c>
      <c r="T149" s="13">
        <v>375.01</v>
      </c>
      <c r="U149" s="13">
        <v>397.31</v>
      </c>
      <c r="V149" s="13">
        <v>486.6</v>
      </c>
      <c r="W149" s="13">
        <v>411.5</v>
      </c>
      <c r="X149" s="13">
        <v>515.70000000000005</v>
      </c>
    </row>
    <row r="150" spans="1:24" x14ac:dyDescent="0.2">
      <c r="A150" s="10" t="s">
        <v>487</v>
      </c>
      <c r="B150" s="10" t="s">
        <v>488</v>
      </c>
      <c r="C150" s="13" t="s">
        <v>658</v>
      </c>
      <c r="D150" s="13" t="s">
        <v>658</v>
      </c>
      <c r="E150" s="13" t="s">
        <v>658</v>
      </c>
      <c r="F150" s="13" t="s">
        <v>658</v>
      </c>
      <c r="G150" s="13" t="s">
        <v>658</v>
      </c>
      <c r="H150" s="13" t="s">
        <v>658</v>
      </c>
      <c r="I150" s="13" t="s">
        <v>658</v>
      </c>
      <c r="J150" s="13">
        <v>-10.104200000000001</v>
      </c>
      <c r="K150" s="13">
        <v>-0.89459999999999995</v>
      </c>
      <c r="L150" s="13">
        <v>11.767899999999999</v>
      </c>
      <c r="M150" s="13">
        <v>93.941199999999995</v>
      </c>
      <c r="N150" s="13">
        <v>140.50129999999999</v>
      </c>
      <c r="O150" s="13">
        <v>182.32</v>
      </c>
      <c r="P150" s="13">
        <v>83.99</v>
      </c>
      <c r="Q150" s="13">
        <v>-267.92</v>
      </c>
      <c r="R150" s="13">
        <v>-71.42</v>
      </c>
      <c r="S150" s="13">
        <v>99.91</v>
      </c>
      <c r="T150" s="13">
        <v>-143.72</v>
      </c>
      <c r="U150" s="13">
        <v>-220.19</v>
      </c>
      <c r="V150" s="13">
        <v>-65.400000000000006</v>
      </c>
      <c r="W150" s="13">
        <v>-21.1</v>
      </c>
      <c r="X150" s="13">
        <v>-336</v>
      </c>
    </row>
    <row r="151" spans="1:24" x14ac:dyDescent="0.2">
      <c r="A151" s="10" t="s">
        <v>489</v>
      </c>
      <c r="B151" s="10" t="s">
        <v>490</v>
      </c>
      <c r="C151" s="14" t="s">
        <v>658</v>
      </c>
      <c r="D151" s="14">
        <v>5.93</v>
      </c>
      <c r="E151" s="14">
        <v>2.84</v>
      </c>
      <c r="F151" s="14">
        <v>1.24</v>
      </c>
      <c r="G151" s="14">
        <v>0.87</v>
      </c>
      <c r="H151" s="14">
        <v>0.63800000000000001</v>
      </c>
      <c r="I151" s="14">
        <v>0.74</v>
      </c>
      <c r="J151" s="14">
        <v>0.65</v>
      </c>
      <c r="K151" s="14">
        <v>0.22</v>
      </c>
      <c r="L151" s="14">
        <v>0.21</v>
      </c>
      <c r="M151" s="14">
        <v>0.61</v>
      </c>
      <c r="N151" s="14">
        <v>0.74</v>
      </c>
      <c r="O151" s="14">
        <v>0.37</v>
      </c>
      <c r="P151" s="14" t="s">
        <v>658</v>
      </c>
      <c r="Q151" s="14">
        <v>0.8</v>
      </c>
      <c r="R151" s="14">
        <v>1.06</v>
      </c>
      <c r="S151" s="14">
        <v>1</v>
      </c>
      <c r="T151" s="14">
        <v>0.17</v>
      </c>
      <c r="U151" s="14">
        <v>0.86</v>
      </c>
      <c r="V151" s="14">
        <v>0.72</v>
      </c>
      <c r="W151" s="14">
        <v>0.7</v>
      </c>
      <c r="X151" s="14" t="s">
        <v>658</v>
      </c>
    </row>
    <row r="152" spans="1:24" x14ac:dyDescent="0.2">
      <c r="A152" s="10" t="s">
        <v>301</v>
      </c>
      <c r="B152" s="10" t="s">
        <v>491</v>
      </c>
      <c r="C152" s="13" t="s">
        <v>658</v>
      </c>
      <c r="D152" s="13" t="s">
        <v>658</v>
      </c>
      <c r="E152" s="13" t="s">
        <v>658</v>
      </c>
      <c r="F152" s="13" t="s">
        <v>658</v>
      </c>
      <c r="G152" s="13" t="s">
        <v>658</v>
      </c>
      <c r="H152" s="13" t="s">
        <v>658</v>
      </c>
      <c r="I152" s="13" t="s">
        <v>658</v>
      </c>
      <c r="J152" s="13" t="s">
        <v>658</v>
      </c>
      <c r="K152" s="13" t="s">
        <v>658</v>
      </c>
      <c r="L152" s="13" t="s">
        <v>658</v>
      </c>
      <c r="M152" s="13" t="s">
        <v>658</v>
      </c>
      <c r="N152" s="13" t="s">
        <v>658</v>
      </c>
      <c r="O152" s="13">
        <v>266.63</v>
      </c>
      <c r="P152" s="13" t="s">
        <v>658</v>
      </c>
      <c r="Q152" s="13" t="s">
        <v>658</v>
      </c>
      <c r="R152" s="13" t="s">
        <v>658</v>
      </c>
      <c r="S152" s="13" t="s">
        <v>658</v>
      </c>
      <c r="T152" s="13" t="s">
        <v>658</v>
      </c>
      <c r="U152" s="13">
        <v>0.01</v>
      </c>
      <c r="V152" s="13" t="s">
        <v>658</v>
      </c>
      <c r="W152" s="13" t="s">
        <v>658</v>
      </c>
      <c r="X152" s="13" t="s">
        <v>658</v>
      </c>
    </row>
    <row r="153" spans="1:24" x14ac:dyDescent="0.2">
      <c r="A153" s="10" t="s">
        <v>492</v>
      </c>
      <c r="B153" s="10" t="s">
        <v>493</v>
      </c>
      <c r="C153" s="13" t="s">
        <v>658</v>
      </c>
      <c r="D153" s="13" t="s">
        <v>658</v>
      </c>
      <c r="E153" s="13" t="s">
        <v>658</v>
      </c>
      <c r="F153" s="13" t="s">
        <v>658</v>
      </c>
      <c r="G153" s="13" t="s">
        <v>658</v>
      </c>
      <c r="H153" s="13" t="s">
        <v>658</v>
      </c>
      <c r="I153" s="13" t="s">
        <v>658</v>
      </c>
      <c r="J153" s="13" t="s">
        <v>658</v>
      </c>
      <c r="K153" s="13" t="s">
        <v>658</v>
      </c>
      <c r="L153" s="13" t="s">
        <v>658</v>
      </c>
      <c r="M153" s="13" t="s">
        <v>658</v>
      </c>
      <c r="N153" s="13" t="s">
        <v>658</v>
      </c>
      <c r="O153" s="13" t="s">
        <v>658</v>
      </c>
      <c r="P153" s="13">
        <v>807.33</v>
      </c>
      <c r="Q153" s="13" t="s">
        <v>658</v>
      </c>
      <c r="R153" s="13">
        <v>291.86</v>
      </c>
      <c r="S153" s="13">
        <v>387.49</v>
      </c>
      <c r="T153" s="13">
        <v>410.92</v>
      </c>
      <c r="U153" s="13">
        <v>452.17</v>
      </c>
      <c r="V153" s="13">
        <v>502</v>
      </c>
      <c r="W153" s="13">
        <v>588.79999999999995</v>
      </c>
      <c r="X153" s="13">
        <v>868.1</v>
      </c>
    </row>
    <row r="154" spans="1:24" x14ac:dyDescent="0.2">
      <c r="A154" s="10" t="s">
        <v>241</v>
      </c>
      <c r="B154" s="10" t="s">
        <v>494</v>
      </c>
      <c r="C154" s="13">
        <v>240</v>
      </c>
      <c r="D154" s="13">
        <v>240</v>
      </c>
      <c r="E154" s="13">
        <v>240</v>
      </c>
      <c r="F154" s="13">
        <v>240</v>
      </c>
      <c r="G154" s="13">
        <v>240</v>
      </c>
      <c r="H154" s="13" t="s">
        <v>658</v>
      </c>
      <c r="I154" s="13">
        <v>500</v>
      </c>
      <c r="J154" s="13">
        <v>500</v>
      </c>
      <c r="K154" s="13">
        <v>500</v>
      </c>
      <c r="L154" s="13">
        <v>500</v>
      </c>
      <c r="M154" s="13">
        <v>500</v>
      </c>
      <c r="N154" s="13">
        <v>500</v>
      </c>
      <c r="O154" s="13" t="s">
        <v>658</v>
      </c>
      <c r="P154" s="13" t="s">
        <v>658</v>
      </c>
      <c r="Q154" s="13" t="s">
        <v>658</v>
      </c>
      <c r="R154" s="13" t="s">
        <v>658</v>
      </c>
      <c r="S154" s="13" t="s">
        <v>658</v>
      </c>
      <c r="T154" s="13" t="s">
        <v>658</v>
      </c>
      <c r="U154" s="13">
        <v>981.5</v>
      </c>
      <c r="V154" s="13">
        <v>981.5</v>
      </c>
      <c r="W154" s="13">
        <v>982.8</v>
      </c>
      <c r="X154" s="13">
        <v>982.8</v>
      </c>
    </row>
    <row r="155" spans="1:24" x14ac:dyDescent="0.2">
      <c r="A155" s="10" t="s">
        <v>495</v>
      </c>
      <c r="B155" s="10" t="s">
        <v>496</v>
      </c>
      <c r="C155" s="13" t="s">
        <v>658</v>
      </c>
      <c r="D155" s="13" t="s">
        <v>658</v>
      </c>
      <c r="E155" s="13" t="s">
        <v>658</v>
      </c>
      <c r="F155" s="13" t="s">
        <v>658</v>
      </c>
      <c r="G155" s="13" t="s">
        <v>658</v>
      </c>
      <c r="H155" s="13" t="s">
        <v>658</v>
      </c>
      <c r="I155" s="13" t="s">
        <v>658</v>
      </c>
      <c r="J155" s="13" t="s">
        <v>658</v>
      </c>
      <c r="K155" s="13" t="s">
        <v>658</v>
      </c>
      <c r="L155" s="13" t="s">
        <v>658</v>
      </c>
      <c r="M155" s="13" t="s">
        <v>658</v>
      </c>
      <c r="N155" s="13" t="s">
        <v>658</v>
      </c>
      <c r="O155" s="13">
        <v>246.45</v>
      </c>
      <c r="P155" s="13">
        <v>80.41</v>
      </c>
      <c r="Q155" s="13" t="s">
        <v>658</v>
      </c>
      <c r="R155" s="13" t="s">
        <v>658</v>
      </c>
      <c r="S155" s="13" t="s">
        <v>658</v>
      </c>
      <c r="T155" s="13" t="s">
        <v>658</v>
      </c>
      <c r="U155" s="13" t="s">
        <v>658</v>
      </c>
      <c r="V155" s="13" t="s">
        <v>658</v>
      </c>
      <c r="W155" s="13" t="s">
        <v>658</v>
      </c>
      <c r="X155" s="13" t="s">
        <v>658</v>
      </c>
    </row>
    <row r="156" spans="1:24" x14ac:dyDescent="0.2">
      <c r="A156" s="10" t="s">
        <v>497</v>
      </c>
      <c r="B156" s="10" t="s">
        <v>498</v>
      </c>
      <c r="C156" s="13" t="s">
        <v>658</v>
      </c>
      <c r="D156" s="13">
        <v>37.781300000000002</v>
      </c>
      <c r="E156" s="13" t="s">
        <v>658</v>
      </c>
      <c r="F156" s="13" t="s">
        <v>658</v>
      </c>
      <c r="G156" s="13">
        <v>37.781300000000002</v>
      </c>
      <c r="H156" s="13">
        <v>37.781300000000002</v>
      </c>
      <c r="I156" s="13">
        <v>250.44130000000001</v>
      </c>
      <c r="J156" s="13">
        <v>250.44130000000001</v>
      </c>
      <c r="K156" s="13">
        <v>250.44130000000001</v>
      </c>
      <c r="L156" s="13">
        <v>250.44130000000001</v>
      </c>
      <c r="M156" s="13">
        <v>250.44130000000001</v>
      </c>
      <c r="N156" s="13">
        <v>250.44130000000001</v>
      </c>
      <c r="O156" s="13">
        <v>250.44</v>
      </c>
      <c r="P156" s="13">
        <v>500.44</v>
      </c>
      <c r="Q156" s="13">
        <v>494.28</v>
      </c>
      <c r="R156" s="13">
        <v>494.28</v>
      </c>
      <c r="S156" s="13">
        <v>494.28</v>
      </c>
      <c r="T156" s="13">
        <v>494.28</v>
      </c>
      <c r="U156" s="13">
        <v>494.28</v>
      </c>
      <c r="V156" s="13">
        <v>494.3</v>
      </c>
      <c r="W156" s="13">
        <v>250</v>
      </c>
      <c r="X156" s="13">
        <v>250</v>
      </c>
    </row>
    <row r="157" spans="1:24" x14ac:dyDescent="0.2">
      <c r="A157" s="10" t="s">
        <v>499</v>
      </c>
      <c r="B157" s="10" t="s">
        <v>500</v>
      </c>
      <c r="C157" s="13">
        <v>3.5249000000000001</v>
      </c>
      <c r="D157" s="13">
        <v>3.5249000000000001</v>
      </c>
      <c r="E157" s="13">
        <v>41.306100000000001</v>
      </c>
      <c r="F157" s="13">
        <v>3.5249000000000001</v>
      </c>
      <c r="G157" s="13">
        <v>3.5249000000000001</v>
      </c>
      <c r="H157" s="13">
        <v>3.5249000000000001</v>
      </c>
      <c r="I157" s="13">
        <v>3.5249000000000001</v>
      </c>
      <c r="J157" s="13">
        <v>3.5249000000000001</v>
      </c>
      <c r="K157" s="13">
        <v>3.5249000000000001</v>
      </c>
      <c r="L157" s="13">
        <v>3.5249000000000001</v>
      </c>
      <c r="M157" s="13">
        <v>3.5249000000000001</v>
      </c>
      <c r="N157" s="13">
        <v>3.5249000000000001</v>
      </c>
      <c r="O157" s="13">
        <v>35.6</v>
      </c>
      <c r="P157" s="13">
        <v>35.6</v>
      </c>
      <c r="Q157" s="13">
        <v>-62.07</v>
      </c>
      <c r="R157" s="13">
        <v>-62.07</v>
      </c>
      <c r="S157" s="13">
        <v>-62.07</v>
      </c>
      <c r="T157" s="13">
        <v>-62.07</v>
      </c>
      <c r="U157" s="13">
        <v>-62.07</v>
      </c>
      <c r="V157" s="13">
        <v>-62.1</v>
      </c>
      <c r="W157" s="13">
        <v>-97.7</v>
      </c>
      <c r="X157" s="13">
        <v>-97.7</v>
      </c>
    </row>
    <row r="158" spans="1:24" x14ac:dyDescent="0.2">
      <c r="A158" s="10" t="s">
        <v>501</v>
      </c>
      <c r="B158" s="10" t="s">
        <v>502</v>
      </c>
      <c r="C158" s="13">
        <v>89.985500000000002</v>
      </c>
      <c r="D158" s="13">
        <v>65.226399999999998</v>
      </c>
      <c r="E158" s="13">
        <v>17.096800000000002</v>
      </c>
      <c r="F158" s="13">
        <v>11.118600000000001</v>
      </c>
      <c r="G158" s="13">
        <v>17.696899999999999</v>
      </c>
      <c r="H158" s="13">
        <v>27.602599999999999</v>
      </c>
      <c r="I158" s="13">
        <v>18.025099999999998</v>
      </c>
      <c r="J158" s="13">
        <v>29.794499999999999</v>
      </c>
      <c r="K158" s="13">
        <v>169.73560000000001</v>
      </c>
      <c r="L158" s="13">
        <v>356.69400000000002</v>
      </c>
      <c r="M158" s="13">
        <v>312.40480000000002</v>
      </c>
      <c r="N158" s="13">
        <v>211.5428</v>
      </c>
      <c r="O158" s="13">
        <v>27.06</v>
      </c>
      <c r="P158" s="13">
        <v>257.51</v>
      </c>
      <c r="Q158" s="13">
        <v>133.58000000000001</v>
      </c>
      <c r="R158" s="13">
        <v>369.27</v>
      </c>
      <c r="S158" s="13">
        <v>513.46</v>
      </c>
      <c r="T158" s="13">
        <v>487.64</v>
      </c>
      <c r="U158" s="13">
        <v>543.80999999999995</v>
      </c>
      <c r="V158" s="13">
        <v>437.9</v>
      </c>
      <c r="W158" s="13">
        <v>411.6</v>
      </c>
      <c r="X158" s="13">
        <v>689.3</v>
      </c>
    </row>
    <row r="159" spans="1:24" x14ac:dyDescent="0.2">
      <c r="A159" s="10" t="s">
        <v>503</v>
      </c>
      <c r="B159" s="10" t="s">
        <v>504</v>
      </c>
      <c r="C159" s="13" t="s">
        <v>658</v>
      </c>
      <c r="D159" s="13" t="s">
        <v>658</v>
      </c>
      <c r="E159" s="13" t="s">
        <v>658</v>
      </c>
      <c r="F159" s="13" t="s">
        <v>658</v>
      </c>
      <c r="G159" s="13" t="s">
        <v>658</v>
      </c>
      <c r="H159" s="13" t="s">
        <v>658</v>
      </c>
      <c r="I159" s="13" t="s">
        <v>658</v>
      </c>
      <c r="J159" s="13" t="s">
        <v>658</v>
      </c>
      <c r="K159" s="13">
        <v>33.415100000000002</v>
      </c>
      <c r="L159" s="13">
        <v>44.314599999999999</v>
      </c>
      <c r="M159" s="13">
        <v>81.845500000000001</v>
      </c>
      <c r="N159" s="13">
        <v>74.469899999999996</v>
      </c>
      <c r="O159" s="13">
        <v>108.13</v>
      </c>
      <c r="P159" s="13">
        <v>1.84</v>
      </c>
      <c r="Q159" s="13" t="s">
        <v>658</v>
      </c>
      <c r="R159" s="13" t="s">
        <v>658</v>
      </c>
      <c r="S159" s="13" t="s">
        <v>658</v>
      </c>
      <c r="T159" s="13" t="s">
        <v>658</v>
      </c>
      <c r="U159" s="13" t="s">
        <v>658</v>
      </c>
      <c r="V159" s="13" t="s">
        <v>658</v>
      </c>
      <c r="W159" s="13" t="s">
        <v>658</v>
      </c>
      <c r="X159" s="13" t="s">
        <v>658</v>
      </c>
    </row>
    <row r="160" spans="1:24" x14ac:dyDescent="0.2">
      <c r="A160" s="10" t="s">
        <v>505</v>
      </c>
      <c r="B160" s="10" t="s">
        <v>506</v>
      </c>
      <c r="C160" s="13" t="s">
        <v>658</v>
      </c>
      <c r="D160" s="13" t="s">
        <v>658</v>
      </c>
      <c r="E160" s="13" t="s">
        <v>658</v>
      </c>
      <c r="F160" s="13" t="s">
        <v>658</v>
      </c>
      <c r="G160" s="13" t="s">
        <v>658</v>
      </c>
      <c r="H160" s="13" t="s">
        <v>658</v>
      </c>
      <c r="I160" s="13" t="s">
        <v>658</v>
      </c>
      <c r="J160" s="13" t="s">
        <v>658</v>
      </c>
      <c r="K160" s="13" t="s">
        <v>658</v>
      </c>
      <c r="L160" s="13" t="s">
        <v>658</v>
      </c>
      <c r="M160" s="13" t="s">
        <v>658</v>
      </c>
      <c r="N160" s="13" t="s">
        <v>658</v>
      </c>
      <c r="O160" s="13" t="s">
        <v>658</v>
      </c>
      <c r="P160" s="13">
        <v>2450.14</v>
      </c>
      <c r="Q160" s="13" t="s">
        <v>658</v>
      </c>
      <c r="R160" s="13">
        <v>2637.96</v>
      </c>
      <c r="S160" s="13">
        <v>2504.3000000000002</v>
      </c>
      <c r="T160" s="13">
        <v>1217.08</v>
      </c>
      <c r="U160" s="13">
        <v>1261.58</v>
      </c>
      <c r="V160" s="13">
        <v>1341.7</v>
      </c>
      <c r="W160" s="13">
        <v>1614.9</v>
      </c>
      <c r="X160" s="13">
        <v>7781.5</v>
      </c>
    </row>
    <row r="161" spans="1:24" x14ac:dyDescent="0.2">
      <c r="A161" s="10" t="s">
        <v>507</v>
      </c>
      <c r="B161" s="10" t="s">
        <v>508</v>
      </c>
      <c r="C161" s="13" t="s">
        <v>658</v>
      </c>
      <c r="D161" s="13" t="s">
        <v>658</v>
      </c>
      <c r="E161" s="13" t="s">
        <v>658</v>
      </c>
      <c r="F161" s="13" t="s">
        <v>658</v>
      </c>
      <c r="G161" s="13">
        <v>5.3686999999999996</v>
      </c>
      <c r="H161" s="13" t="s">
        <v>658</v>
      </c>
      <c r="I161" s="13">
        <v>12.954599999999999</v>
      </c>
      <c r="J161" s="13">
        <v>7.0936000000000003</v>
      </c>
      <c r="K161" s="13">
        <v>3.4548000000000001</v>
      </c>
      <c r="L161" s="13">
        <v>12.6731</v>
      </c>
      <c r="M161" s="13">
        <v>6.4848999999999997</v>
      </c>
      <c r="N161" s="13">
        <v>66.352900000000005</v>
      </c>
      <c r="O161" s="13" t="s">
        <v>658</v>
      </c>
      <c r="P161" s="13" t="s">
        <v>658</v>
      </c>
      <c r="Q161" s="13" t="s">
        <v>658</v>
      </c>
      <c r="R161" s="13" t="s">
        <v>658</v>
      </c>
      <c r="S161" s="13" t="s">
        <v>658</v>
      </c>
      <c r="T161" s="13" t="s">
        <v>658</v>
      </c>
      <c r="U161" s="13" t="s">
        <v>658</v>
      </c>
      <c r="V161" s="13" t="s">
        <v>658</v>
      </c>
      <c r="W161" s="13" t="s">
        <v>658</v>
      </c>
      <c r="X161" s="13" t="s">
        <v>658</v>
      </c>
    </row>
    <row r="162" spans="1:24" x14ac:dyDescent="0.2">
      <c r="A162" s="10" t="s">
        <v>509</v>
      </c>
      <c r="B162" s="10" t="s">
        <v>510</v>
      </c>
      <c r="C162" s="13" t="s">
        <v>658</v>
      </c>
      <c r="D162" s="13" t="s">
        <v>658</v>
      </c>
      <c r="E162" s="13" t="s">
        <v>658</v>
      </c>
      <c r="F162" s="13" t="s">
        <v>658</v>
      </c>
      <c r="G162" s="13" t="s">
        <v>658</v>
      </c>
      <c r="H162" s="13" t="s">
        <v>658</v>
      </c>
      <c r="I162" s="13" t="s">
        <v>658</v>
      </c>
      <c r="J162" s="13" t="s">
        <v>658</v>
      </c>
      <c r="K162" s="13" t="s">
        <v>658</v>
      </c>
      <c r="L162" s="13" t="s">
        <v>658</v>
      </c>
      <c r="M162" s="13" t="s">
        <v>658</v>
      </c>
      <c r="N162" s="13" t="s">
        <v>658</v>
      </c>
      <c r="O162" s="13" t="s">
        <v>658</v>
      </c>
      <c r="P162" s="13" t="s">
        <v>658</v>
      </c>
      <c r="Q162" s="13" t="s">
        <v>658</v>
      </c>
      <c r="R162" s="13" t="s">
        <v>658</v>
      </c>
      <c r="S162" s="13" t="s">
        <v>658</v>
      </c>
      <c r="T162" s="13" t="s">
        <v>658</v>
      </c>
      <c r="U162" s="13">
        <v>0.01</v>
      </c>
      <c r="V162" s="13">
        <v>0</v>
      </c>
      <c r="W162" s="13" t="s">
        <v>658</v>
      </c>
      <c r="X162" s="13" t="s">
        <v>658</v>
      </c>
    </row>
    <row r="163" spans="1:24" x14ac:dyDescent="0.2">
      <c r="A163" s="10" t="s">
        <v>334</v>
      </c>
      <c r="B163" s="10" t="s">
        <v>511</v>
      </c>
      <c r="C163" s="13" t="s">
        <v>658</v>
      </c>
      <c r="D163" s="13" t="s">
        <v>658</v>
      </c>
      <c r="E163" s="13" t="s">
        <v>658</v>
      </c>
      <c r="F163" s="13" t="s">
        <v>658</v>
      </c>
      <c r="G163" s="13" t="s">
        <v>658</v>
      </c>
      <c r="H163" s="13" t="s">
        <v>658</v>
      </c>
      <c r="I163" s="13" t="s">
        <v>658</v>
      </c>
      <c r="J163" s="13" t="s">
        <v>658</v>
      </c>
      <c r="K163" s="13" t="s">
        <v>658</v>
      </c>
      <c r="L163" s="13" t="s">
        <v>658</v>
      </c>
      <c r="M163" s="13" t="s">
        <v>658</v>
      </c>
      <c r="N163" s="13" t="s">
        <v>658</v>
      </c>
      <c r="O163" s="13">
        <v>95.99</v>
      </c>
      <c r="P163" s="13">
        <v>220.25</v>
      </c>
      <c r="Q163" s="13">
        <v>15.97</v>
      </c>
      <c r="R163" s="13">
        <v>3.65</v>
      </c>
      <c r="S163" s="13">
        <v>10.97</v>
      </c>
      <c r="T163" s="13">
        <v>4.6500000000000004</v>
      </c>
      <c r="U163" s="13">
        <v>2.73</v>
      </c>
      <c r="V163" s="13" t="s">
        <v>658</v>
      </c>
      <c r="W163" s="13">
        <v>1.6</v>
      </c>
      <c r="X163" s="13">
        <v>0.6</v>
      </c>
    </row>
    <row r="164" spans="1:24" x14ac:dyDescent="0.2">
      <c r="A164" s="10" t="s">
        <v>512</v>
      </c>
      <c r="B164" s="10" t="s">
        <v>513</v>
      </c>
      <c r="C164" s="13" t="s">
        <v>658</v>
      </c>
      <c r="D164" s="13" t="s">
        <v>658</v>
      </c>
      <c r="E164" s="13" t="s">
        <v>658</v>
      </c>
      <c r="F164" s="13">
        <v>7.4999999999999997E-2</v>
      </c>
      <c r="G164" s="13" t="s">
        <v>658</v>
      </c>
      <c r="H164" s="13" t="s">
        <v>658</v>
      </c>
      <c r="I164" s="13" t="s">
        <v>658</v>
      </c>
      <c r="J164" s="13" t="s">
        <v>658</v>
      </c>
      <c r="K164" s="13">
        <v>0.41599999999999998</v>
      </c>
      <c r="L164" s="13" t="s">
        <v>658</v>
      </c>
      <c r="M164" s="13" t="s">
        <v>658</v>
      </c>
      <c r="N164" s="13">
        <v>0.41599999999999998</v>
      </c>
      <c r="O164" s="13" t="s">
        <v>658</v>
      </c>
      <c r="P164" s="13" t="s">
        <v>658</v>
      </c>
      <c r="Q164" s="13" t="s">
        <v>658</v>
      </c>
      <c r="R164" s="13" t="s">
        <v>658</v>
      </c>
      <c r="S164" s="13" t="s">
        <v>658</v>
      </c>
      <c r="T164" s="13" t="s">
        <v>658</v>
      </c>
      <c r="U164" s="13" t="s">
        <v>658</v>
      </c>
      <c r="V164" s="13" t="s">
        <v>658</v>
      </c>
      <c r="W164" s="13" t="s">
        <v>658</v>
      </c>
      <c r="X164" s="13" t="s">
        <v>658</v>
      </c>
    </row>
    <row r="165" spans="1:24" x14ac:dyDescent="0.2">
      <c r="A165" s="10" t="s">
        <v>514</v>
      </c>
      <c r="B165" s="10" t="s">
        <v>515</v>
      </c>
      <c r="C165" s="13" t="s">
        <v>658</v>
      </c>
      <c r="D165" s="13" t="s">
        <v>658</v>
      </c>
      <c r="E165" s="13" t="s">
        <v>658</v>
      </c>
      <c r="F165" s="13" t="s">
        <v>658</v>
      </c>
      <c r="G165" s="13" t="s">
        <v>658</v>
      </c>
      <c r="H165" s="13">
        <v>79.364999999999995</v>
      </c>
      <c r="I165" s="13" t="s">
        <v>658</v>
      </c>
      <c r="J165" s="13" t="s">
        <v>658</v>
      </c>
      <c r="K165" s="13" t="s">
        <v>658</v>
      </c>
      <c r="L165" s="13" t="s">
        <v>658</v>
      </c>
      <c r="M165" s="13" t="s">
        <v>658</v>
      </c>
      <c r="N165" s="13" t="s">
        <v>658</v>
      </c>
      <c r="O165" s="13" t="s">
        <v>658</v>
      </c>
      <c r="P165" s="13" t="s">
        <v>658</v>
      </c>
      <c r="Q165" s="13" t="s">
        <v>658</v>
      </c>
      <c r="R165" s="13" t="s">
        <v>658</v>
      </c>
      <c r="S165" s="13" t="s">
        <v>658</v>
      </c>
      <c r="T165" s="13" t="s">
        <v>658</v>
      </c>
      <c r="U165" s="13">
        <v>0.04</v>
      </c>
      <c r="V165" s="13" t="s">
        <v>658</v>
      </c>
      <c r="W165" s="13" t="s">
        <v>658</v>
      </c>
      <c r="X165" s="13" t="s">
        <v>658</v>
      </c>
    </row>
    <row r="166" spans="1:24" x14ac:dyDescent="0.2">
      <c r="A166" s="10" t="s">
        <v>516</v>
      </c>
      <c r="B166" s="10" t="s">
        <v>517</v>
      </c>
      <c r="C166" s="13" t="s">
        <v>658</v>
      </c>
      <c r="D166" s="13" t="s">
        <v>658</v>
      </c>
      <c r="E166" s="13" t="s">
        <v>658</v>
      </c>
      <c r="F166" s="13" t="s">
        <v>658</v>
      </c>
      <c r="G166" s="13" t="s">
        <v>658</v>
      </c>
      <c r="H166" s="13" t="s">
        <v>658</v>
      </c>
      <c r="I166" s="13" t="s">
        <v>658</v>
      </c>
      <c r="J166" s="13" t="s">
        <v>658</v>
      </c>
      <c r="K166" s="13" t="s">
        <v>658</v>
      </c>
      <c r="L166" s="13" t="s">
        <v>658</v>
      </c>
      <c r="M166" s="13" t="s">
        <v>658</v>
      </c>
      <c r="N166" s="13" t="s">
        <v>658</v>
      </c>
      <c r="O166" s="13">
        <v>0.91</v>
      </c>
      <c r="P166" s="13" t="s">
        <v>658</v>
      </c>
      <c r="Q166" s="13">
        <v>59.72</v>
      </c>
      <c r="R166" s="13">
        <v>79.290000000000006</v>
      </c>
      <c r="S166" s="13">
        <v>81.96</v>
      </c>
      <c r="T166" s="13">
        <v>83.76</v>
      </c>
      <c r="U166" s="13">
        <v>65.91</v>
      </c>
      <c r="V166" s="13" t="s">
        <v>658</v>
      </c>
      <c r="W166" s="13" t="s">
        <v>658</v>
      </c>
      <c r="X166" s="13" t="s">
        <v>658</v>
      </c>
    </row>
    <row r="167" spans="1:24" x14ac:dyDescent="0.2">
      <c r="A167" s="10" t="s">
        <v>518</v>
      </c>
      <c r="B167" s="10" t="s">
        <v>519</v>
      </c>
      <c r="C167" s="13" t="s">
        <v>658</v>
      </c>
      <c r="D167" s="13" t="s">
        <v>658</v>
      </c>
      <c r="E167" s="13" t="s">
        <v>658</v>
      </c>
      <c r="F167" s="13" t="s">
        <v>658</v>
      </c>
      <c r="G167" s="13" t="s">
        <v>658</v>
      </c>
      <c r="H167" s="13" t="s">
        <v>658</v>
      </c>
      <c r="I167" s="13" t="s">
        <v>658</v>
      </c>
      <c r="J167" s="13" t="s">
        <v>658</v>
      </c>
      <c r="K167" s="13" t="s">
        <v>658</v>
      </c>
      <c r="L167" s="13" t="s">
        <v>658</v>
      </c>
      <c r="M167" s="13" t="s">
        <v>658</v>
      </c>
      <c r="N167" s="13" t="s">
        <v>658</v>
      </c>
      <c r="O167" s="13">
        <v>0</v>
      </c>
      <c r="P167" s="13">
        <v>13.13</v>
      </c>
      <c r="Q167" s="13">
        <v>-14.06</v>
      </c>
      <c r="R167" s="13">
        <v>-18.64</v>
      </c>
      <c r="S167" s="13">
        <v>-59.66</v>
      </c>
      <c r="T167" s="13">
        <v>-64.69</v>
      </c>
      <c r="U167" s="13">
        <v>-73.97</v>
      </c>
      <c r="V167" s="13">
        <v>-91.9</v>
      </c>
      <c r="W167" s="13">
        <v>-120.5</v>
      </c>
      <c r="X167" s="13">
        <v>-202.6</v>
      </c>
    </row>
    <row r="168" spans="1:24" x14ac:dyDescent="0.2">
      <c r="A168" s="10" t="s">
        <v>520</v>
      </c>
      <c r="B168" s="10" t="s">
        <v>521</v>
      </c>
      <c r="C168" s="13" t="s">
        <v>658</v>
      </c>
      <c r="D168" s="13" t="s">
        <v>658</v>
      </c>
      <c r="E168" s="13" t="s">
        <v>658</v>
      </c>
      <c r="F168" s="13" t="s">
        <v>658</v>
      </c>
      <c r="G168" s="13" t="s">
        <v>658</v>
      </c>
      <c r="H168" s="13" t="s">
        <v>658</v>
      </c>
      <c r="I168" s="13" t="s">
        <v>658</v>
      </c>
      <c r="J168" s="13" t="s">
        <v>658</v>
      </c>
      <c r="K168" s="13" t="s">
        <v>658</v>
      </c>
      <c r="L168" s="13" t="s">
        <v>658</v>
      </c>
      <c r="M168" s="13">
        <v>37.144199999999998</v>
      </c>
      <c r="N168" s="13">
        <v>155</v>
      </c>
      <c r="O168" s="13" t="s">
        <v>658</v>
      </c>
      <c r="P168" s="13" t="s">
        <v>658</v>
      </c>
      <c r="Q168" s="13" t="s">
        <v>658</v>
      </c>
      <c r="R168" s="13" t="s">
        <v>658</v>
      </c>
      <c r="S168" s="13" t="s">
        <v>658</v>
      </c>
      <c r="T168" s="13" t="s">
        <v>658</v>
      </c>
      <c r="U168" s="13" t="s">
        <v>658</v>
      </c>
      <c r="V168" s="13" t="s">
        <v>658</v>
      </c>
      <c r="W168" s="13" t="s">
        <v>658</v>
      </c>
      <c r="X168" s="13" t="s">
        <v>658</v>
      </c>
    </row>
    <row r="169" spans="1:24" x14ac:dyDescent="0.2">
      <c r="A169" s="10" t="s">
        <v>522</v>
      </c>
      <c r="B169" s="10" t="s">
        <v>523</v>
      </c>
      <c r="C169" s="13" t="s">
        <v>658</v>
      </c>
      <c r="D169" s="13" t="s">
        <v>658</v>
      </c>
      <c r="E169" s="13" t="s">
        <v>658</v>
      </c>
      <c r="F169" s="13" t="s">
        <v>658</v>
      </c>
      <c r="G169" s="13" t="s">
        <v>658</v>
      </c>
      <c r="H169" s="13" t="s">
        <v>658</v>
      </c>
      <c r="I169" s="13" t="s">
        <v>658</v>
      </c>
      <c r="J169" s="13">
        <v>577.9067</v>
      </c>
      <c r="K169" s="13">
        <v>899.18320000000006</v>
      </c>
      <c r="L169" s="13">
        <v>1081.3405</v>
      </c>
      <c r="M169" s="13">
        <v>1542.9903999999999</v>
      </c>
      <c r="N169" s="13">
        <v>1682.5675000000001</v>
      </c>
      <c r="O169" s="13">
        <v>1865.1</v>
      </c>
      <c r="P169" s="13">
        <v>1983.61</v>
      </c>
      <c r="Q169" s="13">
        <v>2320.85</v>
      </c>
      <c r="R169" s="13">
        <v>2737.37</v>
      </c>
      <c r="S169" s="13">
        <v>2929.83</v>
      </c>
      <c r="T169" s="13">
        <v>1995.96</v>
      </c>
      <c r="U169" s="13">
        <v>2603.08</v>
      </c>
      <c r="V169" s="13">
        <v>2738.5</v>
      </c>
      <c r="W169" s="13">
        <v>2902</v>
      </c>
      <c r="X169" s="13">
        <v>3088.7</v>
      </c>
    </row>
    <row r="170" spans="1:24" x14ac:dyDescent="0.2">
      <c r="A170" s="10" t="s">
        <v>524</v>
      </c>
      <c r="B170" s="10" t="s">
        <v>525</v>
      </c>
      <c r="C170" s="14" t="s">
        <v>658</v>
      </c>
      <c r="D170" s="14">
        <v>20914</v>
      </c>
      <c r="E170" s="14">
        <v>22346</v>
      </c>
      <c r="F170" s="14">
        <v>21954</v>
      </c>
      <c r="G170" s="14">
        <v>21781</v>
      </c>
      <c r="H170" s="14">
        <v>21627</v>
      </c>
      <c r="I170" s="14">
        <v>20638</v>
      </c>
      <c r="J170" s="14">
        <v>19192</v>
      </c>
      <c r="K170" s="14">
        <v>17960</v>
      </c>
      <c r="L170" s="14">
        <v>16347</v>
      </c>
      <c r="M170" s="14">
        <v>15638</v>
      </c>
      <c r="N170" s="14">
        <v>15089</v>
      </c>
      <c r="O170" s="14">
        <v>16516</v>
      </c>
      <c r="P170" s="14" t="s">
        <v>658</v>
      </c>
      <c r="Q170" s="14">
        <v>22580</v>
      </c>
      <c r="R170" s="14">
        <v>20912</v>
      </c>
      <c r="S170" s="14">
        <v>20175</v>
      </c>
      <c r="T170" s="14">
        <v>27454</v>
      </c>
      <c r="U170" s="14">
        <v>41295</v>
      </c>
      <c r="V170" s="14">
        <v>40043</v>
      </c>
      <c r="W170" s="14">
        <v>52540</v>
      </c>
      <c r="X170" s="14">
        <v>52883</v>
      </c>
    </row>
    <row r="171" spans="1:24" x14ac:dyDescent="0.2">
      <c r="A171" s="10" t="s">
        <v>526</v>
      </c>
      <c r="B171" s="10" t="s">
        <v>527</v>
      </c>
      <c r="C171" s="13" t="s">
        <v>658</v>
      </c>
      <c r="D171" s="13" t="s">
        <v>658</v>
      </c>
      <c r="E171" s="13" t="s">
        <v>658</v>
      </c>
      <c r="F171" s="13" t="s">
        <v>658</v>
      </c>
      <c r="G171" s="13" t="s">
        <v>658</v>
      </c>
      <c r="H171" s="13" t="s">
        <v>658</v>
      </c>
      <c r="I171" s="13" t="s">
        <v>658</v>
      </c>
      <c r="J171" s="13" t="s">
        <v>658</v>
      </c>
      <c r="K171" s="13" t="s">
        <v>658</v>
      </c>
      <c r="L171" s="13" t="s">
        <v>658</v>
      </c>
      <c r="M171" s="13" t="s">
        <v>658</v>
      </c>
      <c r="N171" s="13" t="s">
        <v>658</v>
      </c>
      <c r="O171" s="13" t="s">
        <v>658</v>
      </c>
      <c r="P171" s="13">
        <v>0.93</v>
      </c>
      <c r="Q171" s="13" t="s">
        <v>658</v>
      </c>
      <c r="R171" s="13" t="s">
        <v>658</v>
      </c>
      <c r="S171" s="13" t="s">
        <v>658</v>
      </c>
      <c r="T171" s="13" t="s">
        <v>658</v>
      </c>
      <c r="U171" s="13">
        <v>0</v>
      </c>
      <c r="V171" s="13">
        <v>90.8</v>
      </c>
      <c r="W171" s="13">
        <v>116</v>
      </c>
      <c r="X171" s="13">
        <v>209.7</v>
      </c>
    </row>
    <row r="172" spans="1:24" x14ac:dyDescent="0.2">
      <c r="A172" s="10" t="s">
        <v>528</v>
      </c>
      <c r="B172" s="10" t="s">
        <v>529</v>
      </c>
      <c r="C172" s="13">
        <v>48</v>
      </c>
      <c r="D172" s="13">
        <v>48</v>
      </c>
      <c r="E172" s="13">
        <v>48</v>
      </c>
      <c r="F172" s="13">
        <v>48</v>
      </c>
      <c r="G172" s="13">
        <v>48</v>
      </c>
      <c r="H172" s="13">
        <v>100</v>
      </c>
      <c r="I172" s="13">
        <v>100</v>
      </c>
      <c r="J172" s="13">
        <v>100</v>
      </c>
      <c r="K172" s="13">
        <v>100</v>
      </c>
      <c r="L172" s="13">
        <v>100</v>
      </c>
      <c r="M172" s="13">
        <v>100</v>
      </c>
      <c r="N172" s="13">
        <v>100</v>
      </c>
      <c r="O172" s="13">
        <v>104</v>
      </c>
      <c r="P172" s="13">
        <v>104</v>
      </c>
      <c r="Q172" s="13">
        <v>104</v>
      </c>
      <c r="R172" s="13">
        <v>104</v>
      </c>
      <c r="S172" s="13">
        <v>105.2</v>
      </c>
      <c r="T172" s="13">
        <v>105.2</v>
      </c>
      <c r="U172" s="13">
        <v>150.75</v>
      </c>
      <c r="V172" s="13">
        <v>150.75</v>
      </c>
      <c r="W172" s="13">
        <v>150.935</v>
      </c>
      <c r="X172" s="13">
        <v>150.935</v>
      </c>
    </row>
    <row r="173" spans="1:24" x14ac:dyDescent="0.2">
      <c r="A173" s="10" t="s">
        <v>530</v>
      </c>
      <c r="B173" s="10" t="s">
        <v>531</v>
      </c>
      <c r="C173" s="13" t="s">
        <v>658</v>
      </c>
      <c r="D173" s="13" t="s">
        <v>658</v>
      </c>
      <c r="E173" s="13" t="s">
        <v>658</v>
      </c>
      <c r="F173" s="13" t="s">
        <v>658</v>
      </c>
      <c r="G173" s="13" t="s">
        <v>658</v>
      </c>
      <c r="H173" s="13" t="s">
        <v>658</v>
      </c>
      <c r="I173" s="13" t="s">
        <v>658</v>
      </c>
      <c r="J173" s="13" t="s">
        <v>658</v>
      </c>
      <c r="K173" s="13">
        <v>33.7851</v>
      </c>
      <c r="L173" s="13">
        <v>0</v>
      </c>
      <c r="M173" s="13" t="s">
        <v>658</v>
      </c>
      <c r="N173" s="13" t="s">
        <v>658</v>
      </c>
      <c r="O173" s="13" t="s">
        <v>658</v>
      </c>
      <c r="P173" s="13" t="s">
        <v>658</v>
      </c>
      <c r="Q173" s="13" t="s">
        <v>658</v>
      </c>
      <c r="R173" s="13" t="s">
        <v>658</v>
      </c>
      <c r="S173" s="13" t="s">
        <v>658</v>
      </c>
      <c r="T173" s="13" t="s">
        <v>658</v>
      </c>
      <c r="U173" s="13" t="s">
        <v>658</v>
      </c>
      <c r="V173" s="13" t="s">
        <v>658</v>
      </c>
      <c r="W173" s="13" t="s">
        <v>658</v>
      </c>
      <c r="X173" s="13" t="s">
        <v>658</v>
      </c>
    </row>
    <row r="174" spans="1:24" x14ac:dyDescent="0.2">
      <c r="A174" s="10" t="s">
        <v>532</v>
      </c>
      <c r="B174" s="10" t="s">
        <v>533</v>
      </c>
      <c r="C174" s="13">
        <v>41.186100000000003</v>
      </c>
      <c r="D174" s="13">
        <v>6.1322000000000001</v>
      </c>
      <c r="E174" s="13">
        <v>1.5111000000000001</v>
      </c>
      <c r="F174" s="13">
        <v>1.6047</v>
      </c>
      <c r="G174" s="13">
        <v>10.6792</v>
      </c>
      <c r="H174" s="13">
        <v>102.32</v>
      </c>
      <c r="I174" s="13">
        <v>12.3538</v>
      </c>
      <c r="J174" s="13" t="s">
        <v>658</v>
      </c>
      <c r="K174" s="13" t="s">
        <v>658</v>
      </c>
      <c r="L174" s="13" t="s">
        <v>658</v>
      </c>
      <c r="M174" s="13" t="s">
        <v>658</v>
      </c>
      <c r="N174" s="13" t="s">
        <v>658</v>
      </c>
      <c r="O174" s="13" t="s">
        <v>658</v>
      </c>
      <c r="P174" s="13">
        <v>5.13</v>
      </c>
      <c r="Q174" s="13" t="s">
        <v>658</v>
      </c>
      <c r="R174" s="13">
        <v>0</v>
      </c>
      <c r="S174" s="13">
        <v>0.1</v>
      </c>
      <c r="T174" s="13">
        <v>95</v>
      </c>
      <c r="U174" s="13">
        <v>334.3</v>
      </c>
      <c r="V174" s="13">
        <v>103.9</v>
      </c>
      <c r="W174" s="13">
        <v>42.5</v>
      </c>
      <c r="X174" s="13" t="s">
        <v>658</v>
      </c>
    </row>
    <row r="175" spans="1:24" x14ac:dyDescent="0.2">
      <c r="A175" s="10" t="s">
        <v>336</v>
      </c>
      <c r="B175" s="10" t="s">
        <v>534</v>
      </c>
      <c r="C175" s="13" t="s">
        <v>658</v>
      </c>
      <c r="D175" s="13" t="s">
        <v>658</v>
      </c>
      <c r="E175" s="13" t="s">
        <v>658</v>
      </c>
      <c r="F175" s="13" t="s">
        <v>658</v>
      </c>
      <c r="G175" s="13" t="s">
        <v>658</v>
      </c>
      <c r="H175" s="13" t="s">
        <v>658</v>
      </c>
      <c r="I175" s="13" t="s">
        <v>658</v>
      </c>
      <c r="J175" s="13" t="s">
        <v>658</v>
      </c>
      <c r="K175" s="13" t="s">
        <v>658</v>
      </c>
      <c r="L175" s="13" t="s">
        <v>658</v>
      </c>
      <c r="M175" s="13" t="s">
        <v>658</v>
      </c>
      <c r="N175" s="13" t="s">
        <v>658</v>
      </c>
      <c r="O175" s="13" t="s">
        <v>658</v>
      </c>
      <c r="P175" s="13" t="s">
        <v>658</v>
      </c>
      <c r="Q175" s="13">
        <v>620.29</v>
      </c>
      <c r="R175" s="13">
        <v>690.83</v>
      </c>
      <c r="S175" s="13">
        <v>758.07</v>
      </c>
      <c r="T175" s="13">
        <v>1591.32</v>
      </c>
      <c r="U175" s="13">
        <v>60.86</v>
      </c>
      <c r="V175" s="13">
        <v>1633</v>
      </c>
      <c r="W175" s="13">
        <v>1388.8</v>
      </c>
      <c r="X175" s="13">
        <v>1409.2</v>
      </c>
    </row>
    <row r="176" spans="1:24" x14ac:dyDescent="0.2">
      <c r="A176" s="10" t="s">
        <v>535</v>
      </c>
      <c r="B176" s="10" t="s">
        <v>536</v>
      </c>
      <c r="C176" s="13" t="s">
        <v>658</v>
      </c>
      <c r="D176" s="13" t="s">
        <v>658</v>
      </c>
      <c r="E176" s="13" t="s">
        <v>658</v>
      </c>
      <c r="F176" s="13" t="s">
        <v>658</v>
      </c>
      <c r="G176" s="13" t="s">
        <v>658</v>
      </c>
      <c r="H176" s="13" t="s">
        <v>658</v>
      </c>
      <c r="I176" s="13" t="s">
        <v>658</v>
      </c>
      <c r="J176" s="13" t="s">
        <v>658</v>
      </c>
      <c r="K176" s="13" t="s">
        <v>658</v>
      </c>
      <c r="L176" s="13" t="s">
        <v>658</v>
      </c>
      <c r="M176" s="13" t="s">
        <v>658</v>
      </c>
      <c r="N176" s="13" t="s">
        <v>658</v>
      </c>
      <c r="O176" s="13">
        <v>35.67</v>
      </c>
      <c r="P176" s="13" t="s">
        <v>658</v>
      </c>
      <c r="Q176" s="13" t="s">
        <v>658</v>
      </c>
      <c r="R176" s="13">
        <v>28.4</v>
      </c>
      <c r="S176" s="13">
        <v>60.91</v>
      </c>
      <c r="T176" s="13">
        <v>37.39</v>
      </c>
      <c r="U176" s="13">
        <v>53.48</v>
      </c>
      <c r="V176" s="13">
        <v>81.3</v>
      </c>
      <c r="W176" s="13">
        <v>88.4</v>
      </c>
      <c r="X176" s="13">
        <v>119.8</v>
      </c>
    </row>
    <row r="177" spans="1:24" x14ac:dyDescent="0.2">
      <c r="A177" s="10" t="s">
        <v>537</v>
      </c>
      <c r="B177" s="10" t="s">
        <v>538</v>
      </c>
      <c r="C177" s="13" t="s">
        <v>658</v>
      </c>
      <c r="D177" s="13" t="s">
        <v>658</v>
      </c>
      <c r="E177" s="13" t="s">
        <v>658</v>
      </c>
      <c r="F177" s="13" t="s">
        <v>658</v>
      </c>
      <c r="G177" s="13" t="s">
        <v>658</v>
      </c>
      <c r="H177" s="13" t="s">
        <v>658</v>
      </c>
      <c r="I177" s="13" t="s">
        <v>658</v>
      </c>
      <c r="J177" s="13" t="s">
        <v>658</v>
      </c>
      <c r="K177" s="13" t="s">
        <v>658</v>
      </c>
      <c r="L177" s="13" t="s">
        <v>658</v>
      </c>
      <c r="M177" s="13" t="s">
        <v>658</v>
      </c>
      <c r="N177" s="13" t="s">
        <v>658</v>
      </c>
      <c r="O177" s="13" t="s">
        <v>658</v>
      </c>
      <c r="P177" s="13" t="s">
        <v>658</v>
      </c>
      <c r="Q177" s="13" t="s">
        <v>658</v>
      </c>
      <c r="R177" s="13" t="s">
        <v>658</v>
      </c>
      <c r="S177" s="13" t="s">
        <v>658</v>
      </c>
      <c r="T177" s="13" t="s">
        <v>658</v>
      </c>
      <c r="U177" s="13">
        <v>105.2</v>
      </c>
      <c r="V177" s="13">
        <v>105.2</v>
      </c>
      <c r="W177" s="13">
        <v>105.32</v>
      </c>
      <c r="X177" s="13">
        <v>105.32</v>
      </c>
    </row>
    <row r="178" spans="1:24" x14ac:dyDescent="0.2">
      <c r="A178" s="10" t="s">
        <v>539</v>
      </c>
      <c r="B178" s="10" t="s">
        <v>540</v>
      </c>
      <c r="C178" s="13" t="s">
        <v>658</v>
      </c>
      <c r="D178" s="13" t="s">
        <v>658</v>
      </c>
      <c r="E178" s="13" t="s">
        <v>658</v>
      </c>
      <c r="F178" s="13" t="s">
        <v>658</v>
      </c>
      <c r="G178" s="13" t="s">
        <v>658</v>
      </c>
      <c r="H178" s="13" t="s">
        <v>658</v>
      </c>
      <c r="I178" s="13" t="s">
        <v>658</v>
      </c>
      <c r="J178" s="13" t="s">
        <v>658</v>
      </c>
      <c r="K178" s="13" t="s">
        <v>658</v>
      </c>
      <c r="L178" s="13" t="s">
        <v>658</v>
      </c>
      <c r="M178" s="13" t="s">
        <v>658</v>
      </c>
      <c r="N178" s="13" t="s">
        <v>658</v>
      </c>
      <c r="O178" s="13" t="s">
        <v>658</v>
      </c>
      <c r="P178" s="13" t="s">
        <v>658</v>
      </c>
      <c r="Q178" s="13" t="s">
        <v>658</v>
      </c>
      <c r="R178" s="13" t="s">
        <v>658</v>
      </c>
      <c r="S178" s="13" t="s">
        <v>658</v>
      </c>
      <c r="T178" s="13" t="s">
        <v>658</v>
      </c>
      <c r="U178" s="13">
        <v>526</v>
      </c>
      <c r="V178" s="13">
        <v>526</v>
      </c>
      <c r="W178" s="13">
        <v>526.6</v>
      </c>
      <c r="X178" s="13">
        <v>526.6</v>
      </c>
    </row>
    <row r="179" spans="1:24" x14ac:dyDescent="0.2">
      <c r="A179" s="10" t="s">
        <v>541</v>
      </c>
      <c r="B179" s="10" t="s">
        <v>542</v>
      </c>
      <c r="C179" s="13" t="s">
        <v>658</v>
      </c>
      <c r="D179" s="13" t="s">
        <v>658</v>
      </c>
      <c r="E179" s="13" t="s">
        <v>658</v>
      </c>
      <c r="F179" s="13" t="s">
        <v>658</v>
      </c>
      <c r="G179" s="13" t="s">
        <v>658</v>
      </c>
      <c r="H179" s="13" t="s">
        <v>658</v>
      </c>
      <c r="I179" s="13" t="s">
        <v>658</v>
      </c>
      <c r="J179" s="13" t="s">
        <v>658</v>
      </c>
      <c r="K179" s="13" t="s">
        <v>658</v>
      </c>
      <c r="L179" s="13" t="s">
        <v>658</v>
      </c>
      <c r="M179" s="13" t="s">
        <v>658</v>
      </c>
      <c r="N179" s="13" t="s">
        <v>658</v>
      </c>
      <c r="O179" s="13">
        <v>788.46</v>
      </c>
      <c r="P179" s="13" t="s">
        <v>658</v>
      </c>
      <c r="Q179" s="13" t="s">
        <v>658</v>
      </c>
      <c r="R179" s="13">
        <v>251.7</v>
      </c>
      <c r="S179" s="13">
        <v>287.01</v>
      </c>
      <c r="T179" s="13">
        <v>95.75</v>
      </c>
      <c r="U179" s="13">
        <v>110.13</v>
      </c>
      <c r="V179" s="13">
        <v>147.30000000000001</v>
      </c>
      <c r="W179" s="13">
        <v>160.19999999999999</v>
      </c>
      <c r="X179" s="13">
        <v>234.4</v>
      </c>
    </row>
    <row r="180" spans="1:24" x14ac:dyDescent="0.2">
      <c r="A180" s="10" t="s">
        <v>543</v>
      </c>
      <c r="B180" s="10" t="s">
        <v>544</v>
      </c>
      <c r="C180" s="13" t="s">
        <v>658</v>
      </c>
      <c r="D180" s="13" t="s">
        <v>658</v>
      </c>
      <c r="E180" s="13" t="s">
        <v>658</v>
      </c>
      <c r="F180" s="13" t="s">
        <v>658</v>
      </c>
      <c r="G180" s="13" t="s">
        <v>658</v>
      </c>
      <c r="H180" s="13" t="s">
        <v>658</v>
      </c>
      <c r="I180" s="13" t="s">
        <v>658</v>
      </c>
      <c r="J180" s="13" t="s">
        <v>658</v>
      </c>
      <c r="K180" s="13" t="s">
        <v>658</v>
      </c>
      <c r="L180" s="13" t="s">
        <v>658</v>
      </c>
      <c r="M180" s="13" t="s">
        <v>658</v>
      </c>
      <c r="N180" s="13" t="s">
        <v>658</v>
      </c>
      <c r="O180" s="13" t="s">
        <v>658</v>
      </c>
      <c r="P180" s="13">
        <v>172.37</v>
      </c>
      <c r="Q180" s="13" t="s">
        <v>658</v>
      </c>
      <c r="R180" s="13">
        <v>169.77</v>
      </c>
      <c r="S180" s="13">
        <v>174.64</v>
      </c>
      <c r="T180" s="13">
        <v>170.61</v>
      </c>
      <c r="U180" s="13">
        <v>153.96</v>
      </c>
      <c r="V180" s="13">
        <v>148.80000000000001</v>
      </c>
      <c r="W180" s="13">
        <v>145.4</v>
      </c>
      <c r="X180" s="13">
        <v>141.80000000000001</v>
      </c>
    </row>
    <row r="181" spans="1:24" x14ac:dyDescent="0.2">
      <c r="A181" s="10" t="s">
        <v>545</v>
      </c>
      <c r="B181" s="10" t="s">
        <v>546</v>
      </c>
      <c r="C181" s="13" t="s">
        <v>658</v>
      </c>
      <c r="D181" s="13" t="s">
        <v>658</v>
      </c>
      <c r="E181" s="13" t="s">
        <v>658</v>
      </c>
      <c r="F181" s="13" t="s">
        <v>658</v>
      </c>
      <c r="G181" s="13" t="s">
        <v>658</v>
      </c>
      <c r="H181" s="13" t="s">
        <v>658</v>
      </c>
      <c r="I181" s="13" t="s">
        <v>658</v>
      </c>
      <c r="J181" s="13">
        <v>244.16640000000001</v>
      </c>
      <c r="K181" s="13">
        <v>106.1992</v>
      </c>
      <c r="L181" s="13">
        <v>6.6262999999999996</v>
      </c>
      <c r="M181" s="13" t="s">
        <v>658</v>
      </c>
      <c r="N181" s="13" t="s">
        <v>658</v>
      </c>
      <c r="O181" s="13">
        <v>69.930000000000007</v>
      </c>
      <c r="P181" s="13">
        <v>57.5</v>
      </c>
      <c r="Q181" s="13">
        <v>114.68</v>
      </c>
      <c r="R181" s="13">
        <v>115.7</v>
      </c>
      <c r="S181" s="13">
        <v>24.31</v>
      </c>
      <c r="T181" s="13">
        <v>30.06</v>
      </c>
      <c r="U181" s="13">
        <v>19.38</v>
      </c>
      <c r="V181" s="13">
        <v>0</v>
      </c>
      <c r="W181" s="13">
        <v>0</v>
      </c>
      <c r="X181" s="13">
        <v>0</v>
      </c>
    </row>
    <row r="182" spans="1:24" x14ac:dyDescent="0.2">
      <c r="A182" s="10" t="s">
        <v>547</v>
      </c>
      <c r="B182" s="10" t="s">
        <v>548</v>
      </c>
      <c r="C182" s="13" t="s">
        <v>658</v>
      </c>
      <c r="D182" s="13" t="s">
        <v>658</v>
      </c>
      <c r="E182" s="13" t="s">
        <v>658</v>
      </c>
      <c r="F182" s="13" t="s">
        <v>658</v>
      </c>
      <c r="G182" s="13" t="s">
        <v>658</v>
      </c>
      <c r="H182" s="13" t="s">
        <v>658</v>
      </c>
      <c r="I182" s="13" t="s">
        <v>658</v>
      </c>
      <c r="J182" s="13">
        <v>1.01</v>
      </c>
      <c r="K182" s="13">
        <v>8.5629000000000008</v>
      </c>
      <c r="L182" s="13">
        <v>1.1348</v>
      </c>
      <c r="M182" s="13">
        <v>1.5203</v>
      </c>
      <c r="N182" s="13">
        <v>1.3931</v>
      </c>
      <c r="O182" s="13">
        <v>1.41</v>
      </c>
      <c r="P182" s="13">
        <v>4.16</v>
      </c>
      <c r="Q182" s="13">
        <v>2.72</v>
      </c>
      <c r="R182" s="13">
        <v>3.64</v>
      </c>
      <c r="S182" s="13">
        <v>7.13</v>
      </c>
      <c r="T182" s="13">
        <v>3.93</v>
      </c>
      <c r="U182" s="13">
        <v>4.32</v>
      </c>
      <c r="V182" s="13">
        <v>2.2999999999999998</v>
      </c>
      <c r="W182" s="13">
        <v>2.2999999999999998</v>
      </c>
      <c r="X182" s="13">
        <v>1</v>
      </c>
    </row>
    <row r="183" spans="1:24" x14ac:dyDescent="0.2">
      <c r="A183" s="10" t="s">
        <v>549</v>
      </c>
      <c r="B183" s="10" t="s">
        <v>550</v>
      </c>
      <c r="C183" s="13" t="s">
        <v>658</v>
      </c>
      <c r="D183" s="13" t="s">
        <v>658</v>
      </c>
      <c r="E183" s="13" t="s">
        <v>658</v>
      </c>
      <c r="F183" s="13" t="s">
        <v>658</v>
      </c>
      <c r="G183" s="13" t="s">
        <v>658</v>
      </c>
      <c r="H183" s="13" t="s">
        <v>658</v>
      </c>
      <c r="I183" s="13" t="s">
        <v>658</v>
      </c>
      <c r="J183" s="13" t="s">
        <v>658</v>
      </c>
      <c r="K183" s="13" t="s">
        <v>658</v>
      </c>
      <c r="L183" s="13" t="s">
        <v>658</v>
      </c>
      <c r="M183" s="13" t="s">
        <v>658</v>
      </c>
      <c r="N183" s="13" t="s">
        <v>658</v>
      </c>
      <c r="O183" s="13" t="s">
        <v>658</v>
      </c>
      <c r="P183" s="13">
        <v>12.42</v>
      </c>
      <c r="Q183" s="13">
        <v>49.91</v>
      </c>
      <c r="R183" s="13">
        <v>9.7799999999999994</v>
      </c>
      <c r="S183" s="13">
        <v>7.33</v>
      </c>
      <c r="T183" s="13">
        <v>0</v>
      </c>
      <c r="U183" s="13">
        <v>34.340000000000003</v>
      </c>
      <c r="V183" s="13">
        <v>0</v>
      </c>
      <c r="W183" s="13">
        <v>0</v>
      </c>
      <c r="X183" s="13">
        <v>0</v>
      </c>
    </row>
    <row r="184" spans="1:24" x14ac:dyDescent="0.2">
      <c r="A184" s="10" t="s">
        <v>551</v>
      </c>
      <c r="B184" s="10" t="s">
        <v>552</v>
      </c>
      <c r="C184" s="13" t="s">
        <v>658</v>
      </c>
      <c r="D184" s="13" t="s">
        <v>658</v>
      </c>
      <c r="E184" s="13" t="s">
        <v>658</v>
      </c>
      <c r="F184" s="13" t="s">
        <v>658</v>
      </c>
      <c r="G184" s="13" t="s">
        <v>658</v>
      </c>
      <c r="H184" s="13" t="s">
        <v>658</v>
      </c>
      <c r="I184" s="13" t="s">
        <v>658</v>
      </c>
      <c r="J184" s="13" t="s">
        <v>658</v>
      </c>
      <c r="K184" s="13" t="s">
        <v>658</v>
      </c>
      <c r="L184" s="13" t="s">
        <v>658</v>
      </c>
      <c r="M184" s="13" t="s">
        <v>658</v>
      </c>
      <c r="N184" s="13" t="s">
        <v>658</v>
      </c>
      <c r="O184" s="13">
        <v>113.99</v>
      </c>
      <c r="P184" s="13" t="s">
        <v>658</v>
      </c>
      <c r="Q184" s="13" t="s">
        <v>658</v>
      </c>
      <c r="R184" s="13" t="s">
        <v>658</v>
      </c>
      <c r="S184" s="13" t="s">
        <v>658</v>
      </c>
      <c r="T184" s="13" t="s">
        <v>658</v>
      </c>
      <c r="U184" s="13" t="s">
        <v>658</v>
      </c>
      <c r="V184" s="13" t="s">
        <v>658</v>
      </c>
      <c r="W184" s="13" t="s">
        <v>658</v>
      </c>
      <c r="X184" s="13" t="s">
        <v>658</v>
      </c>
    </row>
    <row r="185" spans="1:24" x14ac:dyDescent="0.2">
      <c r="A185" s="10" t="s">
        <v>553</v>
      </c>
      <c r="B185" s="10" t="s">
        <v>554</v>
      </c>
      <c r="C185" s="13" t="s">
        <v>658</v>
      </c>
      <c r="D185" s="13">
        <v>190.98400000000001</v>
      </c>
      <c r="E185" s="13" t="s">
        <v>658</v>
      </c>
      <c r="F185" s="13" t="s">
        <v>658</v>
      </c>
      <c r="G185" s="13">
        <v>540.98400000000004</v>
      </c>
      <c r="H185" s="13" t="s">
        <v>658</v>
      </c>
      <c r="I185" s="13">
        <v>551.16330000000005</v>
      </c>
      <c r="J185" s="13">
        <v>609.47749999999996</v>
      </c>
      <c r="K185" s="13">
        <v>659.47749999999996</v>
      </c>
      <c r="L185" s="13">
        <v>701.47749999999996</v>
      </c>
      <c r="M185" s="13">
        <v>748.87750000000005</v>
      </c>
      <c r="N185" s="13">
        <v>784.77030000000002</v>
      </c>
      <c r="O185" s="13">
        <v>633.67999999999995</v>
      </c>
      <c r="P185" s="13">
        <v>633.67999999999995</v>
      </c>
      <c r="Q185" s="13">
        <v>585.88</v>
      </c>
      <c r="R185" s="13">
        <v>585.88</v>
      </c>
      <c r="S185" s="13">
        <v>585.88</v>
      </c>
      <c r="T185" s="13">
        <v>585.88</v>
      </c>
      <c r="U185" s="13">
        <v>585.88</v>
      </c>
      <c r="V185" s="13">
        <v>585.9</v>
      </c>
      <c r="W185" s="13">
        <v>906.2</v>
      </c>
      <c r="X185" s="13">
        <v>906.2</v>
      </c>
    </row>
    <row r="186" spans="1:24" x14ac:dyDescent="0.2">
      <c r="A186" s="10" t="s">
        <v>555</v>
      </c>
      <c r="B186" s="10" t="s">
        <v>556</v>
      </c>
      <c r="C186" s="13" t="s">
        <v>658</v>
      </c>
      <c r="D186" s="13" t="s">
        <v>658</v>
      </c>
      <c r="E186" s="13" t="s">
        <v>658</v>
      </c>
      <c r="F186" s="13" t="s">
        <v>658</v>
      </c>
      <c r="G186" s="13" t="s">
        <v>658</v>
      </c>
      <c r="H186" s="13" t="s">
        <v>658</v>
      </c>
      <c r="I186" s="13" t="s">
        <v>658</v>
      </c>
      <c r="J186" s="13" t="s">
        <v>658</v>
      </c>
      <c r="K186" s="13" t="s">
        <v>658</v>
      </c>
      <c r="L186" s="13" t="s">
        <v>658</v>
      </c>
      <c r="M186" s="13" t="s">
        <v>658</v>
      </c>
      <c r="N186" s="13" t="s">
        <v>658</v>
      </c>
      <c r="O186" s="13" t="s">
        <v>658</v>
      </c>
      <c r="P186" s="13" t="s">
        <v>658</v>
      </c>
      <c r="Q186" s="13">
        <v>21.18</v>
      </c>
      <c r="R186" s="13">
        <v>22.66</v>
      </c>
      <c r="S186" s="13">
        <v>15.55</v>
      </c>
      <c r="T186" s="13">
        <v>59.55</v>
      </c>
      <c r="U186" s="13">
        <v>47.98</v>
      </c>
      <c r="V186" s="13">
        <v>635.5</v>
      </c>
      <c r="W186" s="13">
        <v>1276.9000000000001</v>
      </c>
      <c r="X186" s="13">
        <v>1176.9000000000001</v>
      </c>
    </row>
    <row r="187" spans="1:24" x14ac:dyDescent="0.2">
      <c r="A187" s="10" t="s">
        <v>557</v>
      </c>
      <c r="B187" s="10" t="s">
        <v>558</v>
      </c>
      <c r="C187" s="13" t="s">
        <v>658</v>
      </c>
      <c r="D187" s="13" t="s">
        <v>658</v>
      </c>
      <c r="E187" s="13" t="s">
        <v>658</v>
      </c>
      <c r="F187" s="13" t="s">
        <v>658</v>
      </c>
      <c r="G187" s="13" t="s">
        <v>658</v>
      </c>
      <c r="H187" s="13" t="s">
        <v>658</v>
      </c>
      <c r="I187" s="13" t="s">
        <v>658</v>
      </c>
      <c r="J187" s="13">
        <v>391.62200000000001</v>
      </c>
      <c r="K187" s="13">
        <v>567.85050000000001</v>
      </c>
      <c r="L187" s="13">
        <v>607.40049999999997</v>
      </c>
      <c r="M187" s="13">
        <v>607.40049999999997</v>
      </c>
      <c r="N187" s="13">
        <v>607.40049999999997</v>
      </c>
      <c r="O187" s="13" t="s">
        <v>658</v>
      </c>
      <c r="P187" s="13">
        <v>607.4</v>
      </c>
      <c r="Q187" s="13" t="s">
        <v>658</v>
      </c>
      <c r="R187" s="13">
        <v>559.11</v>
      </c>
      <c r="S187" s="13">
        <v>554.5</v>
      </c>
      <c r="T187" s="13">
        <v>549.87</v>
      </c>
      <c r="U187" s="13">
        <v>544.95000000000005</v>
      </c>
      <c r="V187" s="13">
        <v>324.60000000000002</v>
      </c>
      <c r="W187" s="13">
        <v>320</v>
      </c>
      <c r="X187" s="13">
        <v>315.39999999999998</v>
      </c>
    </row>
    <row r="188" spans="1:24" x14ac:dyDescent="0.2">
      <c r="A188" s="10" t="s">
        <v>559</v>
      </c>
      <c r="B188" s="10" t="s">
        <v>560</v>
      </c>
      <c r="C188" s="13" t="s">
        <v>658</v>
      </c>
      <c r="D188" s="13" t="s">
        <v>658</v>
      </c>
      <c r="E188" s="13" t="s">
        <v>658</v>
      </c>
      <c r="F188" s="13">
        <v>3.9226000000000001</v>
      </c>
      <c r="G188" s="13" t="s">
        <v>658</v>
      </c>
      <c r="H188" s="13" t="s">
        <v>658</v>
      </c>
      <c r="I188" s="13" t="s">
        <v>658</v>
      </c>
      <c r="J188" s="13">
        <v>10.254799999999999</v>
      </c>
      <c r="K188" s="13">
        <v>14.699400000000001</v>
      </c>
      <c r="L188" s="13">
        <v>70.9084</v>
      </c>
      <c r="M188" s="13">
        <v>74.811000000000007</v>
      </c>
      <c r="N188" s="13">
        <v>77.206500000000005</v>
      </c>
      <c r="O188" s="13" t="s">
        <v>658</v>
      </c>
      <c r="P188" s="13" t="s">
        <v>658</v>
      </c>
      <c r="Q188" s="13" t="s">
        <v>658</v>
      </c>
      <c r="R188" s="13" t="s">
        <v>658</v>
      </c>
      <c r="S188" s="13" t="s">
        <v>658</v>
      </c>
      <c r="T188" s="13" t="s">
        <v>658</v>
      </c>
      <c r="U188" s="13" t="s">
        <v>658</v>
      </c>
      <c r="V188" s="13" t="s">
        <v>658</v>
      </c>
      <c r="W188" s="13" t="s">
        <v>658</v>
      </c>
      <c r="X188" s="13" t="s">
        <v>658</v>
      </c>
    </row>
    <row r="189" spans="1:24" x14ac:dyDescent="0.2">
      <c r="A189" s="10" t="s">
        <v>561</v>
      </c>
      <c r="B189" s="10" t="s">
        <v>562</v>
      </c>
      <c r="C189" s="13" t="s">
        <v>658</v>
      </c>
      <c r="D189" s="13">
        <v>17.314900000000002</v>
      </c>
      <c r="E189" s="13">
        <v>52.2301</v>
      </c>
      <c r="F189" s="13">
        <v>21.0749</v>
      </c>
      <c r="G189" s="13">
        <v>13.6509</v>
      </c>
      <c r="H189" s="13">
        <v>21.852599999999999</v>
      </c>
      <c r="I189" s="13">
        <v>26.0318</v>
      </c>
      <c r="J189" s="13">
        <v>20.497900000000001</v>
      </c>
      <c r="K189" s="13">
        <v>35.173299999999998</v>
      </c>
      <c r="L189" s="13">
        <v>44.817500000000003</v>
      </c>
      <c r="M189" s="13">
        <v>85.462800000000001</v>
      </c>
      <c r="N189" s="13">
        <v>191.15270000000001</v>
      </c>
      <c r="O189" s="13">
        <v>104.03</v>
      </c>
      <c r="P189" s="13" t="s">
        <v>658</v>
      </c>
      <c r="Q189" s="13">
        <v>232.09</v>
      </c>
      <c r="R189" s="13">
        <v>178.62</v>
      </c>
      <c r="S189" s="13" t="s">
        <v>658</v>
      </c>
      <c r="T189" s="13" t="s">
        <v>658</v>
      </c>
      <c r="U189" s="13" t="s">
        <v>658</v>
      </c>
      <c r="V189" s="13" t="s">
        <v>658</v>
      </c>
      <c r="W189" s="13" t="s">
        <v>658</v>
      </c>
      <c r="X189" s="13" t="s">
        <v>658</v>
      </c>
    </row>
    <row r="190" spans="1:24" x14ac:dyDescent="0.2">
      <c r="A190" s="10" t="s">
        <v>309</v>
      </c>
      <c r="B190" s="10" t="s">
        <v>563</v>
      </c>
      <c r="C190" s="13" t="s">
        <v>658</v>
      </c>
      <c r="D190" s="13" t="s">
        <v>658</v>
      </c>
      <c r="E190" s="13" t="s">
        <v>658</v>
      </c>
      <c r="F190" s="13" t="s">
        <v>658</v>
      </c>
      <c r="G190" s="13" t="s">
        <v>658</v>
      </c>
      <c r="H190" s="13" t="s">
        <v>658</v>
      </c>
      <c r="I190" s="13" t="s">
        <v>658</v>
      </c>
      <c r="J190" s="13" t="s">
        <v>658</v>
      </c>
      <c r="K190" s="13" t="s">
        <v>658</v>
      </c>
      <c r="L190" s="13" t="s">
        <v>658</v>
      </c>
      <c r="M190" s="13" t="s">
        <v>658</v>
      </c>
      <c r="N190" s="13" t="s">
        <v>658</v>
      </c>
      <c r="O190" s="13">
        <v>19.61</v>
      </c>
      <c r="P190" s="13" t="s">
        <v>658</v>
      </c>
      <c r="Q190" s="13">
        <v>41.06</v>
      </c>
      <c r="R190" s="13">
        <v>63.08</v>
      </c>
      <c r="S190" s="13">
        <v>3.16</v>
      </c>
      <c r="T190" s="13">
        <v>14.03</v>
      </c>
      <c r="U190" s="13">
        <v>13.69</v>
      </c>
      <c r="V190" s="13">
        <v>107.2</v>
      </c>
      <c r="W190" s="13">
        <v>594.4</v>
      </c>
      <c r="X190" s="13">
        <v>855.5</v>
      </c>
    </row>
    <row r="191" spans="1:24" x14ac:dyDescent="0.2">
      <c r="A191" s="10" t="s">
        <v>564</v>
      </c>
      <c r="B191" s="10" t="s">
        <v>565</v>
      </c>
      <c r="C191" s="13" t="s">
        <v>658</v>
      </c>
      <c r="D191" s="13" t="s">
        <v>658</v>
      </c>
      <c r="E191" s="13" t="s">
        <v>658</v>
      </c>
      <c r="F191" s="13" t="s">
        <v>658</v>
      </c>
      <c r="G191" s="13" t="s">
        <v>658</v>
      </c>
      <c r="H191" s="13" t="s">
        <v>658</v>
      </c>
      <c r="I191" s="13" t="s">
        <v>658</v>
      </c>
      <c r="J191" s="13" t="s">
        <v>658</v>
      </c>
      <c r="K191" s="13" t="s">
        <v>658</v>
      </c>
      <c r="L191" s="13" t="s">
        <v>658</v>
      </c>
      <c r="M191" s="13" t="s">
        <v>658</v>
      </c>
      <c r="N191" s="13" t="s">
        <v>658</v>
      </c>
      <c r="O191" s="13" t="s">
        <v>658</v>
      </c>
      <c r="P191" s="13" t="s">
        <v>658</v>
      </c>
      <c r="Q191" s="13" t="s">
        <v>658</v>
      </c>
      <c r="R191" s="13" t="s">
        <v>658</v>
      </c>
      <c r="S191" s="13" t="s">
        <v>658</v>
      </c>
      <c r="T191" s="13" t="s">
        <v>658</v>
      </c>
      <c r="U191" s="13">
        <v>45.55</v>
      </c>
      <c r="V191" s="13">
        <v>45.55</v>
      </c>
      <c r="W191" s="13">
        <v>45.615000000000002</v>
      </c>
      <c r="X191" s="13">
        <v>45.615000000000002</v>
      </c>
    </row>
    <row r="192" spans="1:24" x14ac:dyDescent="0.2">
      <c r="A192" s="10" t="s">
        <v>359</v>
      </c>
      <c r="B192" s="10" t="s">
        <v>566</v>
      </c>
      <c r="C192" s="13" t="s">
        <v>658</v>
      </c>
      <c r="D192" s="13" t="s">
        <v>658</v>
      </c>
      <c r="E192" s="13" t="s">
        <v>658</v>
      </c>
      <c r="F192" s="13" t="s">
        <v>658</v>
      </c>
      <c r="G192" s="13" t="s">
        <v>658</v>
      </c>
      <c r="H192" s="13" t="s">
        <v>658</v>
      </c>
      <c r="I192" s="13" t="s">
        <v>658</v>
      </c>
      <c r="J192" s="13" t="s">
        <v>658</v>
      </c>
      <c r="K192" s="13" t="s">
        <v>658</v>
      </c>
      <c r="L192" s="13" t="s">
        <v>658</v>
      </c>
      <c r="M192" s="13" t="s">
        <v>658</v>
      </c>
      <c r="N192" s="13" t="s">
        <v>658</v>
      </c>
      <c r="O192" s="13" t="s">
        <v>658</v>
      </c>
      <c r="P192" s="13" t="s">
        <v>658</v>
      </c>
      <c r="Q192" s="13" t="s">
        <v>658</v>
      </c>
      <c r="R192" s="13" t="s">
        <v>658</v>
      </c>
      <c r="S192" s="13" t="s">
        <v>658</v>
      </c>
      <c r="T192" s="13" t="s">
        <v>658</v>
      </c>
      <c r="U192" s="13">
        <v>0</v>
      </c>
      <c r="V192" s="13">
        <v>139.30000000000001</v>
      </c>
      <c r="W192" s="13">
        <v>133.19999999999999</v>
      </c>
      <c r="X192" s="13">
        <v>255.4</v>
      </c>
    </row>
    <row r="193" spans="1:24" x14ac:dyDescent="0.2">
      <c r="A193" s="10" t="s">
        <v>567</v>
      </c>
      <c r="B193" s="10" t="s">
        <v>568</v>
      </c>
      <c r="C193" s="13" t="s">
        <v>658</v>
      </c>
      <c r="D193" s="13" t="s">
        <v>658</v>
      </c>
      <c r="E193" s="13" t="s">
        <v>658</v>
      </c>
      <c r="F193" s="13" t="s">
        <v>658</v>
      </c>
      <c r="G193" s="13" t="s">
        <v>658</v>
      </c>
      <c r="H193" s="13" t="s">
        <v>658</v>
      </c>
      <c r="I193" s="13" t="s">
        <v>658</v>
      </c>
      <c r="J193" s="13" t="s">
        <v>658</v>
      </c>
      <c r="K193" s="13">
        <v>294.74669999999998</v>
      </c>
      <c r="L193" s="13">
        <v>294.74669999999998</v>
      </c>
      <c r="M193" s="13" t="s">
        <v>658</v>
      </c>
      <c r="N193" s="13" t="s">
        <v>658</v>
      </c>
      <c r="O193" s="13" t="s">
        <v>658</v>
      </c>
      <c r="P193" s="13" t="s">
        <v>658</v>
      </c>
      <c r="Q193" s="13" t="s">
        <v>658</v>
      </c>
      <c r="R193" s="13" t="s">
        <v>658</v>
      </c>
      <c r="S193" s="13" t="s">
        <v>658</v>
      </c>
      <c r="T193" s="13" t="s">
        <v>658</v>
      </c>
      <c r="U193" s="13" t="s">
        <v>658</v>
      </c>
      <c r="V193" s="13" t="s">
        <v>658</v>
      </c>
      <c r="W193" s="13" t="s">
        <v>658</v>
      </c>
      <c r="X193" s="13" t="s">
        <v>658</v>
      </c>
    </row>
    <row r="194" spans="1:24" x14ac:dyDescent="0.2">
      <c r="A194" s="10" t="s">
        <v>569</v>
      </c>
      <c r="B194" s="10" t="s">
        <v>570</v>
      </c>
      <c r="C194" s="13" t="s">
        <v>658</v>
      </c>
      <c r="D194" s="13" t="s">
        <v>658</v>
      </c>
      <c r="E194" s="13" t="s">
        <v>658</v>
      </c>
      <c r="F194" s="13" t="s">
        <v>658</v>
      </c>
      <c r="G194" s="13" t="s">
        <v>658</v>
      </c>
      <c r="H194" s="13" t="s">
        <v>658</v>
      </c>
      <c r="I194" s="13" t="s">
        <v>658</v>
      </c>
      <c r="J194" s="13" t="s">
        <v>658</v>
      </c>
      <c r="K194" s="13" t="s">
        <v>658</v>
      </c>
      <c r="L194" s="13" t="s">
        <v>658</v>
      </c>
      <c r="M194" s="13" t="s">
        <v>658</v>
      </c>
      <c r="N194" s="13" t="s">
        <v>658</v>
      </c>
      <c r="O194" s="13" t="s">
        <v>658</v>
      </c>
      <c r="P194" s="13" t="s">
        <v>658</v>
      </c>
      <c r="Q194" s="13">
        <v>111.21</v>
      </c>
      <c r="R194" s="13">
        <v>142.44</v>
      </c>
      <c r="S194" s="13">
        <v>199.07</v>
      </c>
      <c r="T194" s="13">
        <v>144.72</v>
      </c>
      <c r="U194" s="13" t="s">
        <v>658</v>
      </c>
      <c r="V194" s="13" t="s">
        <v>658</v>
      </c>
      <c r="W194" s="13" t="s">
        <v>658</v>
      </c>
      <c r="X194" s="13" t="s">
        <v>658</v>
      </c>
    </row>
    <row r="195" spans="1:24" x14ac:dyDescent="0.2">
      <c r="A195" s="10" t="s">
        <v>245</v>
      </c>
      <c r="B195" s="10" t="s">
        <v>571</v>
      </c>
      <c r="C195" s="13">
        <v>150</v>
      </c>
      <c r="D195" s="13">
        <v>150</v>
      </c>
      <c r="E195" s="13">
        <v>150</v>
      </c>
      <c r="F195" s="13">
        <v>150</v>
      </c>
      <c r="G195" s="13">
        <v>150</v>
      </c>
      <c r="H195" s="13" t="s">
        <v>658</v>
      </c>
      <c r="I195" s="13">
        <v>300</v>
      </c>
      <c r="J195" s="13">
        <v>300</v>
      </c>
      <c r="K195" s="13">
        <v>300</v>
      </c>
      <c r="L195" s="13">
        <v>300</v>
      </c>
      <c r="M195" s="13">
        <v>300</v>
      </c>
      <c r="N195" s="13">
        <v>300</v>
      </c>
      <c r="O195" s="13" t="s">
        <v>658</v>
      </c>
      <c r="P195" s="13" t="s">
        <v>658</v>
      </c>
      <c r="Q195" s="13" t="s">
        <v>658</v>
      </c>
      <c r="R195" s="13" t="s">
        <v>658</v>
      </c>
      <c r="S195" s="13" t="s">
        <v>658</v>
      </c>
      <c r="T195" s="13" t="s">
        <v>658</v>
      </c>
      <c r="U195" s="13">
        <v>455.5</v>
      </c>
      <c r="V195" s="13">
        <v>455.5</v>
      </c>
      <c r="W195" s="13">
        <v>456.2</v>
      </c>
      <c r="X195" s="13">
        <v>456.2</v>
      </c>
    </row>
    <row r="196" spans="1:24" x14ac:dyDescent="0.2">
      <c r="A196" s="10" t="s">
        <v>572</v>
      </c>
      <c r="B196" s="10" t="s">
        <v>573</v>
      </c>
      <c r="C196" s="13" t="s">
        <v>658</v>
      </c>
      <c r="D196" s="13" t="s">
        <v>658</v>
      </c>
      <c r="E196" s="13" t="s">
        <v>658</v>
      </c>
      <c r="F196" s="13" t="s">
        <v>658</v>
      </c>
      <c r="G196" s="13" t="s">
        <v>658</v>
      </c>
      <c r="H196" s="13" t="s">
        <v>658</v>
      </c>
      <c r="I196" s="13" t="s">
        <v>658</v>
      </c>
      <c r="J196" s="13" t="s">
        <v>658</v>
      </c>
      <c r="K196" s="13" t="s">
        <v>658</v>
      </c>
      <c r="L196" s="13" t="s">
        <v>658</v>
      </c>
      <c r="M196" s="13" t="s">
        <v>658</v>
      </c>
      <c r="N196" s="13" t="s">
        <v>658</v>
      </c>
      <c r="O196" s="13" t="s">
        <v>658</v>
      </c>
      <c r="P196" s="13">
        <v>1176.24</v>
      </c>
      <c r="Q196" s="13" t="s">
        <v>658</v>
      </c>
      <c r="R196" s="13">
        <v>1196.92</v>
      </c>
      <c r="S196" s="13">
        <v>1180.0899999999999</v>
      </c>
      <c r="T196" s="13">
        <v>1155</v>
      </c>
      <c r="U196" s="13">
        <v>1181.56</v>
      </c>
      <c r="V196" s="13">
        <v>1138</v>
      </c>
      <c r="W196" s="13">
        <v>1029.2</v>
      </c>
      <c r="X196" s="13">
        <v>1163.3</v>
      </c>
    </row>
    <row r="197" spans="1:24" x14ac:dyDescent="0.2">
      <c r="A197" s="10" t="s">
        <v>574</v>
      </c>
      <c r="B197" s="10" t="s">
        <v>575</v>
      </c>
      <c r="C197" s="13" t="s">
        <v>658</v>
      </c>
      <c r="D197" s="13" t="s">
        <v>658</v>
      </c>
      <c r="E197" s="13" t="s">
        <v>658</v>
      </c>
      <c r="F197" s="13" t="s">
        <v>658</v>
      </c>
      <c r="G197" s="13" t="s">
        <v>658</v>
      </c>
      <c r="H197" s="13" t="s">
        <v>658</v>
      </c>
      <c r="I197" s="13" t="s">
        <v>658</v>
      </c>
      <c r="J197" s="13" t="s">
        <v>658</v>
      </c>
      <c r="K197" s="13" t="s">
        <v>658</v>
      </c>
      <c r="L197" s="13" t="s">
        <v>658</v>
      </c>
      <c r="M197" s="13" t="s">
        <v>658</v>
      </c>
      <c r="N197" s="13" t="s">
        <v>658</v>
      </c>
      <c r="O197" s="13" t="s">
        <v>658</v>
      </c>
      <c r="P197" s="13">
        <v>235.01</v>
      </c>
      <c r="Q197" s="13">
        <v>168.12</v>
      </c>
      <c r="R197" s="13" t="s">
        <v>658</v>
      </c>
      <c r="S197" s="13" t="s">
        <v>658</v>
      </c>
      <c r="T197" s="13" t="s">
        <v>658</v>
      </c>
      <c r="U197" s="13" t="s">
        <v>658</v>
      </c>
      <c r="V197" s="13" t="s">
        <v>658</v>
      </c>
      <c r="W197" s="13" t="s">
        <v>658</v>
      </c>
      <c r="X197" s="13" t="s">
        <v>658</v>
      </c>
    </row>
    <row r="198" spans="1:24" x14ac:dyDescent="0.2">
      <c r="A198" s="10" t="s">
        <v>576</v>
      </c>
      <c r="B198" s="10" t="s">
        <v>577</v>
      </c>
      <c r="C198" s="13" t="s">
        <v>658</v>
      </c>
      <c r="D198" s="13" t="s">
        <v>658</v>
      </c>
      <c r="E198" s="13" t="s">
        <v>658</v>
      </c>
      <c r="F198" s="13" t="s">
        <v>658</v>
      </c>
      <c r="G198" s="13" t="s">
        <v>658</v>
      </c>
      <c r="H198" s="13" t="s">
        <v>658</v>
      </c>
      <c r="I198" s="13" t="s">
        <v>658</v>
      </c>
      <c r="J198" s="13" t="s">
        <v>658</v>
      </c>
      <c r="K198" s="13" t="s">
        <v>658</v>
      </c>
      <c r="L198" s="13" t="s">
        <v>658</v>
      </c>
      <c r="M198" s="13" t="s">
        <v>658</v>
      </c>
      <c r="N198" s="13" t="s">
        <v>658</v>
      </c>
      <c r="O198" s="13">
        <v>390.37</v>
      </c>
      <c r="P198" s="13">
        <v>209.11</v>
      </c>
      <c r="Q198" s="13">
        <v>657.95</v>
      </c>
      <c r="R198" s="13">
        <v>358.79</v>
      </c>
      <c r="S198" s="13">
        <v>964.64</v>
      </c>
      <c r="T198" s="13">
        <v>0</v>
      </c>
      <c r="U198" s="13">
        <v>480</v>
      </c>
      <c r="V198" s="13">
        <v>0</v>
      </c>
      <c r="W198" s="13" t="s">
        <v>658</v>
      </c>
      <c r="X198" s="13" t="s">
        <v>658</v>
      </c>
    </row>
    <row r="199" spans="1:24" x14ac:dyDescent="0.2">
      <c r="A199" s="10" t="s">
        <v>578</v>
      </c>
      <c r="B199" s="10" t="s">
        <v>579</v>
      </c>
      <c r="C199" s="13" t="s">
        <v>658</v>
      </c>
      <c r="D199" s="13" t="s">
        <v>658</v>
      </c>
      <c r="E199" s="13" t="s">
        <v>658</v>
      </c>
      <c r="F199" s="13" t="s">
        <v>658</v>
      </c>
      <c r="G199" s="13" t="s">
        <v>658</v>
      </c>
      <c r="H199" s="13" t="s">
        <v>658</v>
      </c>
      <c r="I199" s="13" t="s">
        <v>658</v>
      </c>
      <c r="J199" s="13" t="s">
        <v>658</v>
      </c>
      <c r="K199" s="13">
        <v>51.384300000000003</v>
      </c>
      <c r="L199" s="13">
        <v>105.7589</v>
      </c>
      <c r="M199" s="13">
        <v>135.3424</v>
      </c>
      <c r="N199" s="13">
        <v>46.1175</v>
      </c>
      <c r="O199" s="13">
        <v>17.739999999999998</v>
      </c>
      <c r="P199" s="13">
        <v>8.02</v>
      </c>
      <c r="Q199" s="13">
        <v>26.24</v>
      </c>
      <c r="R199" s="13">
        <v>14.57</v>
      </c>
      <c r="S199" s="13">
        <v>43.55</v>
      </c>
      <c r="T199" s="13">
        <v>56.55</v>
      </c>
      <c r="U199" s="13">
        <v>40.700000000000003</v>
      </c>
      <c r="V199" s="13" t="s">
        <v>658</v>
      </c>
      <c r="W199" s="13" t="s">
        <v>658</v>
      </c>
      <c r="X199" s="13" t="s">
        <v>658</v>
      </c>
    </row>
    <row r="200" spans="1:24" x14ac:dyDescent="0.2">
      <c r="A200" s="10" t="s">
        <v>580</v>
      </c>
      <c r="B200" s="10" t="s">
        <v>581</v>
      </c>
      <c r="C200" s="13" t="s">
        <v>658</v>
      </c>
      <c r="D200" s="13" t="s">
        <v>658</v>
      </c>
      <c r="E200" s="13" t="s">
        <v>658</v>
      </c>
      <c r="F200" s="13" t="s">
        <v>658</v>
      </c>
      <c r="G200" s="13" t="s">
        <v>658</v>
      </c>
      <c r="H200" s="13" t="s">
        <v>658</v>
      </c>
      <c r="I200" s="13" t="s">
        <v>658</v>
      </c>
      <c r="J200" s="13" t="s">
        <v>658</v>
      </c>
      <c r="K200" s="13" t="s">
        <v>658</v>
      </c>
      <c r="L200" s="13" t="s">
        <v>658</v>
      </c>
      <c r="M200" s="13" t="s">
        <v>658</v>
      </c>
      <c r="N200" s="13" t="s">
        <v>658</v>
      </c>
      <c r="O200" s="13" t="s">
        <v>658</v>
      </c>
      <c r="P200" s="13" t="s">
        <v>658</v>
      </c>
      <c r="Q200" s="13" t="s">
        <v>658</v>
      </c>
      <c r="R200" s="13" t="s">
        <v>658</v>
      </c>
      <c r="S200" s="13" t="s">
        <v>658</v>
      </c>
      <c r="T200" s="13" t="s">
        <v>658</v>
      </c>
      <c r="U200" s="13" t="s">
        <v>658</v>
      </c>
      <c r="V200" s="13">
        <v>0</v>
      </c>
      <c r="W200" s="13">
        <v>0</v>
      </c>
      <c r="X200" s="13" t="s">
        <v>658</v>
      </c>
    </row>
    <row r="201" spans="1:24" x14ac:dyDescent="0.2">
      <c r="A201" s="10" t="s">
        <v>582</v>
      </c>
      <c r="B201" s="10" t="s">
        <v>583</v>
      </c>
      <c r="C201" s="13" t="s">
        <v>658</v>
      </c>
      <c r="D201" s="13" t="s">
        <v>658</v>
      </c>
      <c r="E201" s="13" t="s">
        <v>658</v>
      </c>
      <c r="F201" s="13" t="s">
        <v>658</v>
      </c>
      <c r="G201" s="13" t="s">
        <v>658</v>
      </c>
      <c r="H201" s="13" t="s">
        <v>658</v>
      </c>
      <c r="I201" s="13" t="s">
        <v>658</v>
      </c>
      <c r="J201" s="13" t="s">
        <v>658</v>
      </c>
      <c r="K201" s="13" t="s">
        <v>658</v>
      </c>
      <c r="L201" s="13" t="s">
        <v>658</v>
      </c>
      <c r="M201" s="13" t="s">
        <v>658</v>
      </c>
      <c r="N201" s="13" t="s">
        <v>658</v>
      </c>
      <c r="O201" s="13" t="s">
        <v>658</v>
      </c>
      <c r="P201" s="13" t="s">
        <v>658</v>
      </c>
      <c r="Q201" s="13" t="s">
        <v>658</v>
      </c>
      <c r="R201" s="13" t="s">
        <v>658</v>
      </c>
      <c r="S201" s="13">
        <v>6564.18</v>
      </c>
      <c r="T201" s="13">
        <v>6864.64</v>
      </c>
      <c r="U201" s="13" t="s">
        <v>658</v>
      </c>
      <c r="V201" s="13" t="s">
        <v>658</v>
      </c>
      <c r="W201" s="13">
        <v>11994.9</v>
      </c>
      <c r="X201" s="13">
        <v>13645.9</v>
      </c>
    </row>
    <row r="202" spans="1:24" x14ac:dyDescent="0.2">
      <c r="A202" s="10" t="s">
        <v>338</v>
      </c>
      <c r="B202" s="10" t="s">
        <v>584</v>
      </c>
      <c r="C202" s="13" t="s">
        <v>658</v>
      </c>
      <c r="D202" s="13" t="s">
        <v>658</v>
      </c>
      <c r="E202" s="13" t="s">
        <v>658</v>
      </c>
      <c r="F202" s="13" t="s">
        <v>658</v>
      </c>
      <c r="G202" s="13" t="s">
        <v>658</v>
      </c>
      <c r="H202" s="13" t="s">
        <v>658</v>
      </c>
      <c r="I202" s="13" t="s">
        <v>658</v>
      </c>
      <c r="J202" s="13" t="s">
        <v>658</v>
      </c>
      <c r="K202" s="13" t="s">
        <v>658</v>
      </c>
      <c r="L202" s="13" t="s">
        <v>658</v>
      </c>
      <c r="M202" s="13" t="s">
        <v>658</v>
      </c>
      <c r="N202" s="13" t="s">
        <v>658</v>
      </c>
      <c r="O202" s="13" t="s">
        <v>658</v>
      </c>
      <c r="P202" s="13" t="s">
        <v>658</v>
      </c>
      <c r="Q202" s="13" t="s">
        <v>658</v>
      </c>
      <c r="R202" s="13">
        <v>18.86</v>
      </c>
      <c r="S202" s="13">
        <v>49.49</v>
      </c>
      <c r="T202" s="13">
        <v>75.319999999999993</v>
      </c>
      <c r="U202" s="13">
        <v>64.13</v>
      </c>
      <c r="V202" s="13">
        <v>115.7</v>
      </c>
      <c r="W202" s="13">
        <v>83.8</v>
      </c>
      <c r="X202" s="13">
        <v>80.900000000000006</v>
      </c>
    </row>
    <row r="203" spans="1:24" x14ac:dyDescent="0.2">
      <c r="A203" s="10" t="s">
        <v>585</v>
      </c>
      <c r="B203" s="10" t="s">
        <v>586</v>
      </c>
      <c r="C203" s="13" t="s">
        <v>658</v>
      </c>
      <c r="D203" s="13" t="s">
        <v>658</v>
      </c>
      <c r="E203" s="13" t="s">
        <v>658</v>
      </c>
      <c r="F203" s="13" t="s">
        <v>658</v>
      </c>
      <c r="G203" s="13" t="s">
        <v>658</v>
      </c>
      <c r="H203" s="13" t="s">
        <v>658</v>
      </c>
      <c r="I203" s="13" t="s">
        <v>658</v>
      </c>
      <c r="J203" s="13">
        <v>0</v>
      </c>
      <c r="K203" s="13" t="s">
        <v>658</v>
      </c>
      <c r="L203" s="13" t="s">
        <v>658</v>
      </c>
      <c r="M203" s="13" t="s">
        <v>658</v>
      </c>
      <c r="N203" s="13" t="s">
        <v>658</v>
      </c>
      <c r="O203" s="13" t="s">
        <v>658</v>
      </c>
      <c r="P203" s="13" t="s">
        <v>658</v>
      </c>
      <c r="Q203" s="13" t="s">
        <v>658</v>
      </c>
      <c r="R203" s="13" t="s">
        <v>658</v>
      </c>
      <c r="S203" s="13" t="s">
        <v>658</v>
      </c>
      <c r="T203" s="13" t="s">
        <v>658</v>
      </c>
      <c r="U203" s="13" t="s">
        <v>658</v>
      </c>
      <c r="V203" s="13" t="s">
        <v>658</v>
      </c>
      <c r="W203" s="13" t="s">
        <v>658</v>
      </c>
      <c r="X203" s="13" t="s">
        <v>658</v>
      </c>
    </row>
    <row r="204" spans="1:24" x14ac:dyDescent="0.2">
      <c r="A204" s="10" t="s">
        <v>587</v>
      </c>
      <c r="B204" s="10" t="s">
        <v>588</v>
      </c>
      <c r="C204" s="13" t="s">
        <v>658</v>
      </c>
      <c r="D204" s="13" t="s">
        <v>658</v>
      </c>
      <c r="E204" s="13" t="s">
        <v>658</v>
      </c>
      <c r="F204" s="13" t="s">
        <v>658</v>
      </c>
      <c r="G204" s="13" t="s">
        <v>658</v>
      </c>
      <c r="H204" s="13" t="s">
        <v>658</v>
      </c>
      <c r="I204" s="13" t="s">
        <v>658</v>
      </c>
      <c r="J204" s="13" t="s">
        <v>658</v>
      </c>
      <c r="K204" s="13" t="s">
        <v>658</v>
      </c>
      <c r="L204" s="13" t="s">
        <v>658</v>
      </c>
      <c r="M204" s="13" t="s">
        <v>658</v>
      </c>
      <c r="N204" s="13" t="s">
        <v>658</v>
      </c>
      <c r="O204" s="13" t="s">
        <v>658</v>
      </c>
      <c r="P204" s="13" t="s">
        <v>658</v>
      </c>
      <c r="Q204" s="13" t="s">
        <v>658</v>
      </c>
      <c r="R204" s="13" t="s">
        <v>658</v>
      </c>
      <c r="S204" s="13" t="s">
        <v>658</v>
      </c>
      <c r="T204" s="13" t="s">
        <v>658</v>
      </c>
      <c r="U204" s="13">
        <v>630.21</v>
      </c>
      <c r="V204" s="13">
        <v>212.6</v>
      </c>
      <c r="W204" s="13" t="s">
        <v>658</v>
      </c>
      <c r="X204" s="13" t="s">
        <v>658</v>
      </c>
    </row>
    <row r="205" spans="1:24" x14ac:dyDescent="0.2">
      <c r="A205" s="10" t="s">
        <v>589</v>
      </c>
      <c r="B205" s="10" t="s">
        <v>590</v>
      </c>
      <c r="C205" s="13" t="s">
        <v>658</v>
      </c>
      <c r="D205" s="13" t="s">
        <v>658</v>
      </c>
      <c r="E205" s="13" t="s">
        <v>658</v>
      </c>
      <c r="F205" s="13" t="s">
        <v>658</v>
      </c>
      <c r="G205" s="13" t="s">
        <v>658</v>
      </c>
      <c r="H205" s="13" t="s">
        <v>658</v>
      </c>
      <c r="I205" s="13" t="s">
        <v>658</v>
      </c>
      <c r="J205" s="13" t="s">
        <v>658</v>
      </c>
      <c r="K205" s="13">
        <v>421.4194</v>
      </c>
      <c r="L205" s="13">
        <v>390.0385</v>
      </c>
      <c r="M205" s="13">
        <v>875.4538</v>
      </c>
      <c r="N205" s="13">
        <v>767.16549999999995</v>
      </c>
      <c r="O205" s="13" t="s">
        <v>658</v>
      </c>
      <c r="P205" s="13" t="s">
        <v>658</v>
      </c>
      <c r="Q205" s="13" t="s">
        <v>658</v>
      </c>
      <c r="R205" s="13" t="s">
        <v>658</v>
      </c>
      <c r="S205" s="13" t="s">
        <v>658</v>
      </c>
      <c r="T205" s="13" t="s">
        <v>658</v>
      </c>
      <c r="U205" s="13" t="s">
        <v>658</v>
      </c>
      <c r="V205" s="13" t="s">
        <v>658</v>
      </c>
      <c r="W205" s="13" t="s">
        <v>658</v>
      </c>
      <c r="X205" s="13" t="s">
        <v>658</v>
      </c>
    </row>
    <row r="206" spans="1:24" x14ac:dyDescent="0.2">
      <c r="A206" s="10" t="s">
        <v>591</v>
      </c>
      <c r="B206" s="10" t="s">
        <v>592</v>
      </c>
      <c r="C206" s="13" t="s">
        <v>658</v>
      </c>
      <c r="D206" s="13" t="s">
        <v>658</v>
      </c>
      <c r="E206" s="13" t="s">
        <v>658</v>
      </c>
      <c r="F206" s="13" t="s">
        <v>658</v>
      </c>
      <c r="G206" s="13" t="s">
        <v>658</v>
      </c>
      <c r="H206" s="13" t="s">
        <v>658</v>
      </c>
      <c r="I206" s="13" t="s">
        <v>658</v>
      </c>
      <c r="J206" s="13" t="s">
        <v>658</v>
      </c>
      <c r="K206" s="13" t="s">
        <v>658</v>
      </c>
      <c r="L206" s="13" t="s">
        <v>658</v>
      </c>
      <c r="M206" s="13" t="s">
        <v>658</v>
      </c>
      <c r="N206" s="13">
        <v>2.5899999999999999E-2</v>
      </c>
      <c r="O206" s="13" t="s">
        <v>658</v>
      </c>
      <c r="P206" s="13" t="s">
        <v>658</v>
      </c>
      <c r="Q206" s="13" t="s">
        <v>658</v>
      </c>
      <c r="R206" s="13" t="s">
        <v>658</v>
      </c>
      <c r="S206" s="13" t="s">
        <v>658</v>
      </c>
      <c r="T206" s="13" t="s">
        <v>658</v>
      </c>
      <c r="U206" s="13" t="s">
        <v>658</v>
      </c>
      <c r="V206" s="13" t="s">
        <v>658</v>
      </c>
      <c r="W206" s="13" t="s">
        <v>658</v>
      </c>
      <c r="X206" s="13" t="s">
        <v>658</v>
      </c>
    </row>
    <row r="207" spans="1:24" x14ac:dyDescent="0.2">
      <c r="A207" s="10" t="s">
        <v>593</v>
      </c>
      <c r="B207" s="10" t="s">
        <v>594</v>
      </c>
      <c r="C207" s="13" t="s">
        <v>658</v>
      </c>
      <c r="D207" s="13" t="s">
        <v>658</v>
      </c>
      <c r="E207" s="13" t="s">
        <v>658</v>
      </c>
      <c r="F207" s="13" t="s">
        <v>658</v>
      </c>
      <c r="G207" s="13" t="s">
        <v>658</v>
      </c>
      <c r="H207" s="13" t="s">
        <v>658</v>
      </c>
      <c r="I207" s="13" t="s">
        <v>658</v>
      </c>
      <c r="J207" s="13" t="s">
        <v>658</v>
      </c>
      <c r="K207" s="13" t="s">
        <v>658</v>
      </c>
      <c r="L207" s="13" t="s">
        <v>658</v>
      </c>
      <c r="M207" s="13" t="s">
        <v>658</v>
      </c>
      <c r="N207" s="13">
        <v>0.1032</v>
      </c>
      <c r="O207" s="13" t="s">
        <v>658</v>
      </c>
      <c r="P207" s="13" t="s">
        <v>658</v>
      </c>
      <c r="Q207" s="13" t="s">
        <v>658</v>
      </c>
      <c r="R207" s="13" t="s">
        <v>658</v>
      </c>
      <c r="S207" s="13" t="s">
        <v>658</v>
      </c>
      <c r="T207" s="13" t="s">
        <v>658</v>
      </c>
      <c r="U207" s="13" t="s">
        <v>658</v>
      </c>
      <c r="V207" s="13" t="s">
        <v>658</v>
      </c>
      <c r="W207" s="13" t="s">
        <v>658</v>
      </c>
      <c r="X207" s="13" t="s">
        <v>658</v>
      </c>
    </row>
    <row r="208" spans="1:24" x14ac:dyDescent="0.2">
      <c r="A208" s="10" t="s">
        <v>595</v>
      </c>
      <c r="B208" s="10" t="s">
        <v>596</v>
      </c>
      <c r="C208" s="13" t="s">
        <v>658</v>
      </c>
      <c r="D208" s="13" t="s">
        <v>658</v>
      </c>
      <c r="E208" s="13" t="s">
        <v>658</v>
      </c>
      <c r="F208" s="13" t="s">
        <v>658</v>
      </c>
      <c r="G208" s="13" t="s">
        <v>658</v>
      </c>
      <c r="H208" s="13" t="s">
        <v>658</v>
      </c>
      <c r="I208" s="13" t="s">
        <v>658</v>
      </c>
      <c r="J208" s="13" t="s">
        <v>658</v>
      </c>
      <c r="K208" s="13">
        <v>10.131500000000001</v>
      </c>
      <c r="L208" s="13">
        <v>13.7424</v>
      </c>
      <c r="M208" s="13">
        <v>18.405999999999999</v>
      </c>
      <c r="N208" s="13">
        <v>34.078899999999997</v>
      </c>
      <c r="O208" s="13" t="s">
        <v>658</v>
      </c>
      <c r="P208" s="13" t="s">
        <v>658</v>
      </c>
      <c r="Q208" s="13" t="s">
        <v>658</v>
      </c>
      <c r="R208" s="13" t="s">
        <v>658</v>
      </c>
      <c r="S208" s="13" t="s">
        <v>658</v>
      </c>
      <c r="T208" s="13" t="s">
        <v>658</v>
      </c>
      <c r="U208" s="13" t="s">
        <v>658</v>
      </c>
      <c r="V208" s="13" t="s">
        <v>658</v>
      </c>
      <c r="W208" s="13" t="s">
        <v>658</v>
      </c>
      <c r="X208" s="13" t="s">
        <v>658</v>
      </c>
    </row>
    <row r="209" spans="1:24" x14ac:dyDescent="0.2">
      <c r="A209" s="10" t="s">
        <v>597</v>
      </c>
      <c r="B209" s="10" t="s">
        <v>598</v>
      </c>
      <c r="C209" s="13" t="s">
        <v>658</v>
      </c>
      <c r="D209" s="13" t="s">
        <v>658</v>
      </c>
      <c r="E209" s="13" t="s">
        <v>658</v>
      </c>
      <c r="F209" s="13" t="s">
        <v>658</v>
      </c>
      <c r="G209" s="13" t="s">
        <v>658</v>
      </c>
      <c r="H209" s="13" t="s">
        <v>658</v>
      </c>
      <c r="I209" s="13" t="s">
        <v>658</v>
      </c>
      <c r="J209" s="13" t="s">
        <v>658</v>
      </c>
      <c r="K209" s="13">
        <v>59.787599999999998</v>
      </c>
      <c r="L209" s="13">
        <v>64.820599999999999</v>
      </c>
      <c r="M209" s="13">
        <v>100.71</v>
      </c>
      <c r="N209" s="13">
        <v>114.2398</v>
      </c>
      <c r="O209" s="13" t="s">
        <v>658</v>
      </c>
      <c r="P209" s="13">
        <v>146.77000000000001</v>
      </c>
      <c r="Q209" s="13">
        <v>114.41</v>
      </c>
      <c r="R209" s="13">
        <v>149.13</v>
      </c>
      <c r="S209" s="13">
        <v>196.53</v>
      </c>
      <c r="T209" s="13">
        <v>188.39</v>
      </c>
      <c r="U209" s="13">
        <v>207.05</v>
      </c>
      <c r="V209" s="13">
        <v>234.9</v>
      </c>
      <c r="W209" s="13">
        <v>305.3</v>
      </c>
      <c r="X209" s="13">
        <v>548.4</v>
      </c>
    </row>
    <row r="210" spans="1:24" x14ac:dyDescent="0.2">
      <c r="A210" s="10" t="s">
        <v>253</v>
      </c>
      <c r="B210" s="10" t="s">
        <v>599</v>
      </c>
      <c r="C210" s="13">
        <v>160.3657</v>
      </c>
      <c r="D210" s="13">
        <v>202.99870000000001</v>
      </c>
      <c r="E210" s="13">
        <v>203.08420000000001</v>
      </c>
      <c r="F210" s="13">
        <v>203.58420000000001</v>
      </c>
      <c r="G210" s="13">
        <v>203.58420000000001</v>
      </c>
      <c r="H210" s="13">
        <v>294.57170000000002</v>
      </c>
      <c r="I210" s="13">
        <v>294.74669999999998</v>
      </c>
      <c r="J210" s="13">
        <v>294.74669999999998</v>
      </c>
      <c r="K210" s="13">
        <v>294.74669999999998</v>
      </c>
      <c r="L210" s="13">
        <v>294.74669999999998</v>
      </c>
      <c r="M210" s="13">
        <v>294.74669999999998</v>
      </c>
      <c r="N210" s="13">
        <v>294.74669999999998</v>
      </c>
      <c r="O210" s="13" t="s">
        <v>658</v>
      </c>
      <c r="P210" s="13" t="s">
        <v>658</v>
      </c>
      <c r="Q210" s="13">
        <v>294.75</v>
      </c>
      <c r="R210" s="13">
        <v>294.75</v>
      </c>
      <c r="S210" s="13">
        <v>294.75</v>
      </c>
      <c r="T210" s="13">
        <v>294.75</v>
      </c>
      <c r="U210" s="13">
        <v>294.75</v>
      </c>
      <c r="V210" s="13">
        <v>294.8</v>
      </c>
      <c r="W210" s="13">
        <v>295</v>
      </c>
      <c r="X210" s="13">
        <v>295.5</v>
      </c>
    </row>
    <row r="211" spans="1:24" x14ac:dyDescent="0.2">
      <c r="A211" s="10" t="s">
        <v>600</v>
      </c>
      <c r="B211" s="10" t="s">
        <v>601</v>
      </c>
      <c r="C211" s="13" t="s">
        <v>658</v>
      </c>
      <c r="D211" s="13" t="s">
        <v>658</v>
      </c>
      <c r="E211" s="13" t="s">
        <v>658</v>
      </c>
      <c r="F211" s="13" t="s">
        <v>658</v>
      </c>
      <c r="G211" s="13" t="s">
        <v>658</v>
      </c>
      <c r="H211" s="13" t="s">
        <v>658</v>
      </c>
      <c r="I211" s="13" t="s">
        <v>658</v>
      </c>
      <c r="J211" s="13" t="s">
        <v>658</v>
      </c>
      <c r="K211" s="13" t="s">
        <v>658</v>
      </c>
      <c r="L211" s="13" t="s">
        <v>658</v>
      </c>
      <c r="M211" s="13" t="s">
        <v>658</v>
      </c>
      <c r="N211" s="13" t="s">
        <v>658</v>
      </c>
      <c r="O211" s="13" t="s">
        <v>658</v>
      </c>
      <c r="P211" s="13" t="s">
        <v>658</v>
      </c>
      <c r="Q211" s="13">
        <v>19.91</v>
      </c>
      <c r="R211" s="13">
        <v>102.7</v>
      </c>
      <c r="S211" s="13">
        <v>88.63</v>
      </c>
      <c r="T211" s="13">
        <v>34.450000000000003</v>
      </c>
      <c r="U211" s="13">
        <v>14.03</v>
      </c>
      <c r="V211" s="13">
        <v>53.8</v>
      </c>
      <c r="W211" s="13">
        <v>21.6</v>
      </c>
      <c r="X211" s="13">
        <v>254.9</v>
      </c>
    </row>
    <row r="212" spans="1:24" x14ac:dyDescent="0.2">
      <c r="A212" s="10" t="s">
        <v>602</v>
      </c>
      <c r="B212" s="10" t="s">
        <v>603</v>
      </c>
      <c r="C212" s="13" t="s">
        <v>658</v>
      </c>
      <c r="D212" s="13" t="s">
        <v>658</v>
      </c>
      <c r="E212" s="13" t="s">
        <v>658</v>
      </c>
      <c r="F212" s="13" t="s">
        <v>658</v>
      </c>
      <c r="G212" s="13" t="s">
        <v>658</v>
      </c>
      <c r="H212" s="13" t="s">
        <v>658</v>
      </c>
      <c r="I212" s="13" t="s">
        <v>658</v>
      </c>
      <c r="J212" s="13" t="s">
        <v>658</v>
      </c>
      <c r="K212" s="13" t="s">
        <v>658</v>
      </c>
      <c r="L212" s="13" t="s">
        <v>658</v>
      </c>
      <c r="M212" s="13" t="s">
        <v>658</v>
      </c>
      <c r="N212" s="13" t="s">
        <v>658</v>
      </c>
      <c r="O212" s="13" t="s">
        <v>658</v>
      </c>
      <c r="P212" s="13">
        <v>590.30999999999995</v>
      </c>
      <c r="Q212" s="13">
        <v>170.87</v>
      </c>
      <c r="R212" s="13">
        <v>200.77</v>
      </c>
      <c r="S212" s="13">
        <v>235.77</v>
      </c>
      <c r="T212" s="13">
        <v>530.74</v>
      </c>
      <c r="U212" s="13">
        <v>624.74</v>
      </c>
      <c r="V212" s="13">
        <v>846.3</v>
      </c>
      <c r="W212" s="13">
        <v>946.6</v>
      </c>
      <c r="X212" s="13">
        <v>1414.2</v>
      </c>
    </row>
    <row r="213" spans="1:24" x14ac:dyDescent="0.2">
      <c r="A213" s="10" t="s">
        <v>604</v>
      </c>
      <c r="B213" s="10" t="s">
        <v>605</v>
      </c>
      <c r="C213" s="13" t="s">
        <v>658</v>
      </c>
      <c r="D213" s="13" t="s">
        <v>658</v>
      </c>
      <c r="E213" s="13" t="s">
        <v>658</v>
      </c>
      <c r="F213" s="13" t="s">
        <v>658</v>
      </c>
      <c r="G213" s="13" t="s">
        <v>658</v>
      </c>
      <c r="H213" s="13" t="s">
        <v>658</v>
      </c>
      <c r="I213" s="13" t="s">
        <v>658</v>
      </c>
      <c r="J213" s="13" t="s">
        <v>658</v>
      </c>
      <c r="K213" s="13" t="s">
        <v>658</v>
      </c>
      <c r="L213" s="13" t="s">
        <v>658</v>
      </c>
      <c r="M213" s="13" t="s">
        <v>658</v>
      </c>
      <c r="N213" s="13" t="s">
        <v>658</v>
      </c>
      <c r="O213" s="13">
        <v>267.05</v>
      </c>
      <c r="P213" s="13" t="s">
        <v>658</v>
      </c>
      <c r="Q213" s="13" t="s">
        <v>658</v>
      </c>
      <c r="R213" s="13" t="s">
        <v>658</v>
      </c>
      <c r="S213" s="13" t="s">
        <v>658</v>
      </c>
      <c r="T213" s="13" t="s">
        <v>658</v>
      </c>
      <c r="U213" s="13" t="s">
        <v>658</v>
      </c>
      <c r="V213" s="13" t="s">
        <v>658</v>
      </c>
      <c r="W213" s="13" t="s">
        <v>658</v>
      </c>
      <c r="X213" s="13" t="s">
        <v>658</v>
      </c>
    </row>
    <row r="214" spans="1:24" x14ac:dyDescent="0.2">
      <c r="A214" s="10" t="s">
        <v>606</v>
      </c>
      <c r="B214" s="10" t="s">
        <v>607</v>
      </c>
      <c r="C214" s="13" t="s">
        <v>658</v>
      </c>
      <c r="D214" s="13" t="s">
        <v>658</v>
      </c>
      <c r="E214" s="13" t="s">
        <v>658</v>
      </c>
      <c r="F214" s="13" t="s">
        <v>658</v>
      </c>
      <c r="G214" s="13" t="s">
        <v>658</v>
      </c>
      <c r="H214" s="13" t="s">
        <v>658</v>
      </c>
      <c r="I214" s="13" t="s">
        <v>658</v>
      </c>
      <c r="J214" s="13" t="s">
        <v>658</v>
      </c>
      <c r="K214" s="13" t="s">
        <v>658</v>
      </c>
      <c r="L214" s="13" t="s">
        <v>658</v>
      </c>
      <c r="M214" s="13" t="s">
        <v>658</v>
      </c>
      <c r="N214" s="13" t="s">
        <v>658</v>
      </c>
      <c r="O214" s="13">
        <v>340.35</v>
      </c>
      <c r="P214" s="13">
        <v>42.19</v>
      </c>
      <c r="Q214" s="13">
        <v>270.3</v>
      </c>
      <c r="R214" s="13">
        <v>270.3</v>
      </c>
      <c r="S214" s="13">
        <v>270.3</v>
      </c>
      <c r="T214" s="13">
        <v>270.3</v>
      </c>
      <c r="U214" s="13">
        <v>269.73</v>
      </c>
      <c r="V214" s="13">
        <v>269.7</v>
      </c>
      <c r="W214" s="13">
        <v>269.7</v>
      </c>
      <c r="X214" s="13">
        <v>269.7</v>
      </c>
    </row>
    <row r="215" spans="1:24" x14ac:dyDescent="0.2">
      <c r="A215" s="10" t="s">
        <v>608</v>
      </c>
      <c r="B215" s="10" t="s">
        <v>609</v>
      </c>
      <c r="C215" s="13" t="s">
        <v>658</v>
      </c>
      <c r="D215" s="13" t="s">
        <v>658</v>
      </c>
      <c r="E215" s="13" t="s">
        <v>658</v>
      </c>
      <c r="F215" s="13" t="s">
        <v>658</v>
      </c>
      <c r="G215" s="13" t="s">
        <v>658</v>
      </c>
      <c r="H215" s="13">
        <v>707.9633</v>
      </c>
      <c r="I215" s="13" t="s">
        <v>658</v>
      </c>
      <c r="J215" s="13" t="s">
        <v>658</v>
      </c>
      <c r="K215" s="13">
        <v>-20.821999999999999</v>
      </c>
      <c r="L215" s="13">
        <v>4.7877999999999998</v>
      </c>
      <c r="M215" s="13">
        <v>-6.1275000000000004</v>
      </c>
      <c r="N215" s="13">
        <v>77.185599999999994</v>
      </c>
      <c r="O215" s="13">
        <v>57.84</v>
      </c>
      <c r="P215" s="13">
        <v>98.63</v>
      </c>
      <c r="Q215" s="13">
        <v>50.14</v>
      </c>
      <c r="R215" s="13">
        <v>82.68</v>
      </c>
      <c r="S215" s="13">
        <v>-43.77</v>
      </c>
      <c r="T215" s="13">
        <v>35.67</v>
      </c>
      <c r="U215" s="13">
        <v>57.84</v>
      </c>
      <c r="V215" s="13">
        <v>-26.6</v>
      </c>
      <c r="W215" s="13">
        <v>8.3000000000000007</v>
      </c>
      <c r="X215" s="13">
        <v>1.4</v>
      </c>
    </row>
    <row r="216" spans="1:24" x14ac:dyDescent="0.2">
      <c r="A216" s="10" t="s">
        <v>274</v>
      </c>
      <c r="B216" s="10" t="s">
        <v>610</v>
      </c>
      <c r="C216" s="13" t="s">
        <v>658</v>
      </c>
      <c r="D216" s="13" t="s">
        <v>658</v>
      </c>
      <c r="E216" s="13" t="s">
        <v>658</v>
      </c>
      <c r="F216" s="13" t="s">
        <v>658</v>
      </c>
      <c r="G216" s="13" t="s">
        <v>658</v>
      </c>
      <c r="H216" s="13" t="s">
        <v>658</v>
      </c>
      <c r="I216" s="13" t="s">
        <v>658</v>
      </c>
      <c r="J216" s="13" t="s">
        <v>658</v>
      </c>
      <c r="K216" s="13" t="s">
        <v>658</v>
      </c>
      <c r="L216" s="13" t="s">
        <v>658</v>
      </c>
      <c r="M216" s="13" t="s">
        <v>658</v>
      </c>
      <c r="N216" s="13" t="s">
        <v>658</v>
      </c>
      <c r="O216" s="13" t="s">
        <v>658</v>
      </c>
      <c r="P216" s="13" t="s">
        <v>658</v>
      </c>
      <c r="Q216" s="13">
        <v>2.35</v>
      </c>
      <c r="R216" s="13">
        <v>9.4700000000000006</v>
      </c>
      <c r="S216" s="13">
        <v>52.25</v>
      </c>
      <c r="T216" s="13">
        <v>5.74</v>
      </c>
      <c r="U216" s="13">
        <v>15.84</v>
      </c>
      <c r="V216" s="13">
        <v>41.8</v>
      </c>
      <c r="W216" s="13">
        <v>0</v>
      </c>
      <c r="X216" s="13">
        <v>1821.8</v>
      </c>
    </row>
    <row r="217" spans="1:24" x14ac:dyDescent="0.2">
      <c r="A217" s="10" t="s">
        <v>611</v>
      </c>
      <c r="B217" s="10" t="s">
        <v>612</v>
      </c>
      <c r="C217" s="13" t="s">
        <v>658</v>
      </c>
      <c r="D217" s="13" t="s">
        <v>658</v>
      </c>
      <c r="E217" s="13" t="s">
        <v>658</v>
      </c>
      <c r="F217" s="13" t="s">
        <v>658</v>
      </c>
      <c r="G217" s="13" t="s">
        <v>658</v>
      </c>
      <c r="H217" s="13" t="s">
        <v>658</v>
      </c>
      <c r="I217" s="13" t="s">
        <v>658</v>
      </c>
      <c r="J217" s="13">
        <v>66.784800000000004</v>
      </c>
      <c r="K217" s="13">
        <v>241.83519999999999</v>
      </c>
      <c r="L217" s="13">
        <v>217.31880000000001</v>
      </c>
      <c r="M217" s="13">
        <v>463.03919999999999</v>
      </c>
      <c r="N217" s="13">
        <v>647.09339999999997</v>
      </c>
      <c r="O217" s="13">
        <v>613.70000000000005</v>
      </c>
      <c r="P217" s="13">
        <v>686.96</v>
      </c>
      <c r="Q217" s="13">
        <v>840.77</v>
      </c>
      <c r="R217" s="13">
        <v>730.58</v>
      </c>
      <c r="S217" s="13">
        <v>1980.01</v>
      </c>
      <c r="T217" s="13">
        <v>1026.33</v>
      </c>
      <c r="U217" s="13">
        <v>1734.84</v>
      </c>
      <c r="V217" s="13">
        <v>1432.6</v>
      </c>
      <c r="W217" s="13">
        <v>1267.7</v>
      </c>
      <c r="X217" s="13">
        <v>2278.6</v>
      </c>
    </row>
    <row r="218" spans="1:24" x14ac:dyDescent="0.2">
      <c r="A218" s="10" t="s">
        <v>613</v>
      </c>
      <c r="B218" s="10" t="s">
        <v>614</v>
      </c>
      <c r="C218" s="13" t="s">
        <v>658</v>
      </c>
      <c r="D218" s="13" t="s">
        <v>658</v>
      </c>
      <c r="E218" s="13" t="s">
        <v>658</v>
      </c>
      <c r="F218" s="13" t="s">
        <v>658</v>
      </c>
      <c r="G218" s="13" t="s">
        <v>658</v>
      </c>
      <c r="H218" s="13" t="s">
        <v>658</v>
      </c>
      <c r="I218" s="13" t="s">
        <v>658</v>
      </c>
      <c r="J218" s="13" t="s">
        <v>658</v>
      </c>
      <c r="K218" s="13">
        <v>219.54939999999999</v>
      </c>
      <c r="L218" s="13">
        <v>250.0411</v>
      </c>
      <c r="M218" s="13">
        <v>291.36520000000002</v>
      </c>
      <c r="N218" s="13">
        <v>289.392</v>
      </c>
      <c r="O218" s="13">
        <v>304.11</v>
      </c>
      <c r="P218" s="13">
        <v>319.88</v>
      </c>
      <c r="Q218" s="13">
        <v>131.91</v>
      </c>
      <c r="R218" s="13">
        <v>173.54</v>
      </c>
      <c r="S218" s="13">
        <v>185.73</v>
      </c>
      <c r="T218" s="13">
        <v>182.62</v>
      </c>
      <c r="U218" s="13">
        <v>196.04</v>
      </c>
      <c r="V218" s="13">
        <v>233.5</v>
      </c>
      <c r="W218" s="13">
        <v>249.3</v>
      </c>
      <c r="X218" s="13">
        <v>281.2</v>
      </c>
    </row>
    <row r="219" spans="1:24" x14ac:dyDescent="0.2">
      <c r="A219" s="10" t="s">
        <v>615</v>
      </c>
      <c r="B219" s="10" t="s">
        <v>616</v>
      </c>
      <c r="C219" s="13" t="s">
        <v>658</v>
      </c>
      <c r="D219" s="13" t="s">
        <v>658</v>
      </c>
      <c r="E219" s="13" t="s">
        <v>658</v>
      </c>
      <c r="F219" s="13" t="s">
        <v>658</v>
      </c>
      <c r="G219" s="13" t="s">
        <v>658</v>
      </c>
      <c r="H219" s="13" t="s">
        <v>658</v>
      </c>
      <c r="I219" s="13" t="s">
        <v>658</v>
      </c>
      <c r="J219" s="13" t="s">
        <v>658</v>
      </c>
      <c r="K219" s="13">
        <v>26.133600000000001</v>
      </c>
      <c r="L219" s="13">
        <v>27.501200000000001</v>
      </c>
      <c r="M219" s="13">
        <v>28.354099999999999</v>
      </c>
      <c r="N219" s="13">
        <v>30.064900000000002</v>
      </c>
      <c r="O219" s="13">
        <v>30.14</v>
      </c>
      <c r="P219" s="13">
        <v>33.67</v>
      </c>
      <c r="Q219" s="13">
        <v>20.3</v>
      </c>
      <c r="R219" s="13">
        <v>26.7</v>
      </c>
      <c r="S219" s="13">
        <v>29.83</v>
      </c>
      <c r="T219" s="13">
        <v>40.380000000000003</v>
      </c>
      <c r="U219" s="13">
        <v>34.49</v>
      </c>
      <c r="V219" s="13">
        <v>68.2</v>
      </c>
      <c r="W219" s="13">
        <v>75</v>
      </c>
      <c r="X219" s="13">
        <v>105.9</v>
      </c>
    </row>
    <row r="220" spans="1:24" x14ac:dyDescent="0.2">
      <c r="A220" s="10" t="s">
        <v>617</v>
      </c>
      <c r="B220" s="10" t="s">
        <v>618</v>
      </c>
      <c r="C220" s="13" t="s">
        <v>658</v>
      </c>
      <c r="D220" s="13" t="s">
        <v>658</v>
      </c>
      <c r="E220" s="13" t="s">
        <v>658</v>
      </c>
      <c r="F220" s="13" t="s">
        <v>658</v>
      </c>
      <c r="G220" s="13" t="s">
        <v>658</v>
      </c>
      <c r="H220" s="13" t="s">
        <v>658</v>
      </c>
      <c r="I220" s="13" t="s">
        <v>658</v>
      </c>
      <c r="J220" s="13" t="s">
        <v>658</v>
      </c>
      <c r="K220" s="13" t="s">
        <v>658</v>
      </c>
      <c r="L220" s="13" t="s">
        <v>658</v>
      </c>
      <c r="M220" s="13" t="s">
        <v>658</v>
      </c>
      <c r="N220" s="13" t="s">
        <v>658</v>
      </c>
      <c r="O220" s="13" t="s">
        <v>658</v>
      </c>
      <c r="P220" s="13">
        <v>61.91</v>
      </c>
      <c r="Q220" s="13" t="s">
        <v>658</v>
      </c>
      <c r="R220" s="13">
        <v>126.53</v>
      </c>
      <c r="S220" s="13">
        <v>106.52</v>
      </c>
      <c r="T220" s="13">
        <v>36.369999999999997</v>
      </c>
      <c r="U220" s="13">
        <v>38.69</v>
      </c>
      <c r="V220" s="13">
        <v>138.1</v>
      </c>
      <c r="W220" s="13">
        <v>116.2</v>
      </c>
      <c r="X220" s="13">
        <v>139.30000000000001</v>
      </c>
    </row>
    <row r="221" spans="1:24" x14ac:dyDescent="0.2">
      <c r="A221" s="10" t="s">
        <v>619</v>
      </c>
      <c r="B221" s="10" t="s">
        <v>620</v>
      </c>
      <c r="C221" s="13" t="s">
        <v>658</v>
      </c>
      <c r="D221" s="13" t="s">
        <v>658</v>
      </c>
      <c r="E221" s="13" t="s">
        <v>658</v>
      </c>
      <c r="F221" s="13" t="s">
        <v>658</v>
      </c>
      <c r="G221" s="13" t="s">
        <v>658</v>
      </c>
      <c r="H221" s="13" t="s">
        <v>658</v>
      </c>
      <c r="I221" s="13" t="s">
        <v>658</v>
      </c>
      <c r="J221" s="13" t="s">
        <v>658</v>
      </c>
      <c r="K221" s="13">
        <v>15.7697</v>
      </c>
      <c r="L221" s="13">
        <v>0</v>
      </c>
      <c r="M221" s="13">
        <v>355.435</v>
      </c>
      <c r="N221" s="13">
        <v>379.66550000000001</v>
      </c>
      <c r="O221" s="13">
        <v>85.62</v>
      </c>
      <c r="P221" s="13">
        <v>145.76</v>
      </c>
      <c r="Q221" s="13" t="s">
        <v>658</v>
      </c>
      <c r="R221" s="13">
        <v>340.69</v>
      </c>
      <c r="S221" s="13">
        <v>964.64</v>
      </c>
      <c r="T221" s="13">
        <v>0</v>
      </c>
      <c r="U221" s="13">
        <v>480</v>
      </c>
      <c r="V221" s="13">
        <v>0</v>
      </c>
      <c r="W221" s="13" t="s">
        <v>658</v>
      </c>
      <c r="X221" s="13" t="s">
        <v>658</v>
      </c>
    </row>
    <row r="222" spans="1:24" x14ac:dyDescent="0.2">
      <c r="A222" s="10" t="s">
        <v>621</v>
      </c>
      <c r="B222" s="10" t="s">
        <v>622</v>
      </c>
      <c r="C222" s="13" t="s">
        <v>658</v>
      </c>
      <c r="D222" s="13" t="s">
        <v>658</v>
      </c>
      <c r="E222" s="13" t="s">
        <v>658</v>
      </c>
      <c r="F222" s="13" t="s">
        <v>658</v>
      </c>
      <c r="G222" s="13" t="s">
        <v>658</v>
      </c>
      <c r="H222" s="13" t="s">
        <v>658</v>
      </c>
      <c r="I222" s="13" t="s">
        <v>658</v>
      </c>
      <c r="J222" s="13" t="s">
        <v>658</v>
      </c>
      <c r="K222" s="13" t="s">
        <v>658</v>
      </c>
      <c r="L222" s="13" t="s">
        <v>658</v>
      </c>
      <c r="M222" s="13" t="s">
        <v>658</v>
      </c>
      <c r="N222" s="13" t="s">
        <v>658</v>
      </c>
      <c r="O222" s="13" t="s">
        <v>658</v>
      </c>
      <c r="P222" s="13">
        <v>63.35</v>
      </c>
      <c r="Q222" s="13" t="s">
        <v>658</v>
      </c>
      <c r="R222" s="13">
        <v>18.100000000000001</v>
      </c>
      <c r="S222" s="13">
        <v>0</v>
      </c>
      <c r="T222" s="13">
        <v>0</v>
      </c>
      <c r="U222" s="13" t="s">
        <v>658</v>
      </c>
      <c r="V222" s="13" t="s">
        <v>658</v>
      </c>
      <c r="W222" s="13" t="s">
        <v>658</v>
      </c>
      <c r="X222" s="13" t="s">
        <v>658</v>
      </c>
    </row>
    <row r="223" spans="1:24" x14ac:dyDescent="0.2">
      <c r="A223" s="10" t="s">
        <v>623</v>
      </c>
      <c r="B223" s="10" t="s">
        <v>624</v>
      </c>
      <c r="C223" s="13" t="s">
        <v>658</v>
      </c>
      <c r="D223" s="13" t="s">
        <v>658</v>
      </c>
      <c r="E223" s="13" t="s">
        <v>658</v>
      </c>
      <c r="F223" s="13" t="s">
        <v>658</v>
      </c>
      <c r="G223" s="13" t="s">
        <v>658</v>
      </c>
      <c r="H223" s="13" t="s">
        <v>658</v>
      </c>
      <c r="I223" s="13" t="s">
        <v>658</v>
      </c>
      <c r="J223" s="13" t="s">
        <v>658</v>
      </c>
      <c r="K223" s="13" t="s">
        <v>658</v>
      </c>
      <c r="L223" s="13" t="s">
        <v>658</v>
      </c>
      <c r="M223" s="13">
        <v>520.01880000000006</v>
      </c>
      <c r="N223" s="13">
        <v>387.5</v>
      </c>
      <c r="O223" s="13">
        <v>246.45</v>
      </c>
      <c r="P223" s="13">
        <v>80.41</v>
      </c>
      <c r="Q223" s="13" t="s">
        <v>658</v>
      </c>
      <c r="R223" s="13" t="s">
        <v>658</v>
      </c>
      <c r="S223" s="13" t="s">
        <v>658</v>
      </c>
      <c r="T223" s="13" t="s">
        <v>658</v>
      </c>
      <c r="U223" s="13" t="s">
        <v>658</v>
      </c>
      <c r="V223" s="13" t="s">
        <v>658</v>
      </c>
      <c r="W223" s="13" t="s">
        <v>658</v>
      </c>
      <c r="X223" s="13" t="s">
        <v>658</v>
      </c>
    </row>
    <row r="224" spans="1:24" x14ac:dyDescent="0.2">
      <c r="A224" s="10" t="s">
        <v>342</v>
      </c>
      <c r="B224" s="10" t="s">
        <v>625</v>
      </c>
      <c r="C224" s="13" t="s">
        <v>658</v>
      </c>
      <c r="D224" s="13" t="s">
        <v>658</v>
      </c>
      <c r="E224" s="13" t="s">
        <v>658</v>
      </c>
      <c r="F224" s="13" t="s">
        <v>658</v>
      </c>
      <c r="G224" s="13" t="s">
        <v>658</v>
      </c>
      <c r="H224" s="13" t="s">
        <v>658</v>
      </c>
      <c r="I224" s="13" t="s">
        <v>658</v>
      </c>
      <c r="J224" s="13" t="s">
        <v>658</v>
      </c>
      <c r="K224" s="13" t="s">
        <v>658</v>
      </c>
      <c r="L224" s="13" t="s">
        <v>658</v>
      </c>
      <c r="M224" s="13" t="s">
        <v>658</v>
      </c>
      <c r="N224" s="13" t="s">
        <v>658</v>
      </c>
      <c r="O224" s="13">
        <v>765.26</v>
      </c>
      <c r="P224" s="13">
        <v>480.83</v>
      </c>
      <c r="Q224" s="13">
        <v>212.99</v>
      </c>
      <c r="R224" s="13">
        <v>454.5</v>
      </c>
      <c r="S224" s="13">
        <v>254.94</v>
      </c>
      <c r="T224" s="13">
        <v>1459.26</v>
      </c>
      <c r="U224" s="13">
        <v>2243.69</v>
      </c>
      <c r="V224" s="13">
        <v>2474.1999999999998</v>
      </c>
      <c r="W224" s="13">
        <v>3270.1</v>
      </c>
      <c r="X224" s="13">
        <v>1373.7</v>
      </c>
    </row>
    <row r="225" spans="1:24" x14ac:dyDescent="0.2">
      <c r="A225" s="10" t="s">
        <v>626</v>
      </c>
      <c r="B225" s="10" t="s">
        <v>627</v>
      </c>
      <c r="C225" s="13" t="s">
        <v>658</v>
      </c>
      <c r="D225" s="13" t="s">
        <v>658</v>
      </c>
      <c r="E225" s="13" t="s">
        <v>658</v>
      </c>
      <c r="F225" s="13" t="s">
        <v>658</v>
      </c>
      <c r="G225" s="13" t="s">
        <v>658</v>
      </c>
      <c r="H225" s="13">
        <v>510.45859999999999</v>
      </c>
      <c r="I225" s="13">
        <v>443.86410000000001</v>
      </c>
      <c r="J225" s="13">
        <v>160.0087</v>
      </c>
      <c r="K225" s="13">
        <v>91.5</v>
      </c>
      <c r="L225" s="13">
        <v>50</v>
      </c>
      <c r="M225" s="13">
        <v>233.97550000000001</v>
      </c>
      <c r="N225" s="13">
        <v>206.5445</v>
      </c>
      <c r="O225" s="13">
        <v>197.77</v>
      </c>
      <c r="P225" s="13">
        <v>80.650000000000006</v>
      </c>
      <c r="Q225" s="13" t="s">
        <v>658</v>
      </c>
      <c r="R225" s="13" t="s">
        <v>658</v>
      </c>
      <c r="S225" s="13" t="s">
        <v>658</v>
      </c>
      <c r="T225" s="13" t="s">
        <v>658</v>
      </c>
      <c r="U225" s="13" t="s">
        <v>658</v>
      </c>
      <c r="V225" s="13" t="s">
        <v>658</v>
      </c>
      <c r="W225" s="13" t="s">
        <v>658</v>
      </c>
      <c r="X225" s="13" t="s">
        <v>658</v>
      </c>
    </row>
    <row r="226" spans="1:24" x14ac:dyDescent="0.2">
      <c r="A226" s="10" t="s">
        <v>628</v>
      </c>
      <c r="B226" s="10" t="s">
        <v>629</v>
      </c>
      <c r="C226" s="13" t="s">
        <v>658</v>
      </c>
      <c r="D226" s="13" t="s">
        <v>658</v>
      </c>
      <c r="E226" s="13" t="s">
        <v>658</v>
      </c>
      <c r="F226" s="13" t="s">
        <v>658</v>
      </c>
      <c r="G226" s="13" t="s">
        <v>658</v>
      </c>
      <c r="H226" s="13" t="s">
        <v>658</v>
      </c>
      <c r="I226" s="13">
        <v>8.0619999999999994</v>
      </c>
      <c r="J226" s="13">
        <v>8.1796000000000006</v>
      </c>
      <c r="K226" s="13">
        <v>12.143800000000001</v>
      </c>
      <c r="L226" s="13" t="s">
        <v>658</v>
      </c>
      <c r="M226" s="13">
        <v>7.3240999999999996</v>
      </c>
      <c r="N226" s="13">
        <v>11.7971</v>
      </c>
      <c r="O226" s="13">
        <v>11.49</v>
      </c>
      <c r="P226" s="13" t="s">
        <v>658</v>
      </c>
      <c r="Q226" s="13">
        <v>22.15</v>
      </c>
      <c r="R226" s="13">
        <v>23.63</v>
      </c>
      <c r="S226" s="13">
        <v>28.87</v>
      </c>
      <c r="T226" s="13">
        <v>28.73</v>
      </c>
      <c r="U226" s="13">
        <v>36.21</v>
      </c>
      <c r="V226" s="13">
        <v>41.2</v>
      </c>
      <c r="W226" s="13">
        <v>0</v>
      </c>
      <c r="X226" s="13">
        <v>65.099999999999994</v>
      </c>
    </row>
    <row r="227" spans="1:24" x14ac:dyDescent="0.2">
      <c r="A227" s="10" t="s">
        <v>630</v>
      </c>
      <c r="B227" s="10" t="s">
        <v>631</v>
      </c>
      <c r="C227" s="13" t="s">
        <v>658</v>
      </c>
      <c r="D227" s="13" t="s">
        <v>658</v>
      </c>
      <c r="E227" s="13" t="s">
        <v>658</v>
      </c>
      <c r="F227" s="13" t="s">
        <v>658</v>
      </c>
      <c r="G227" s="13" t="s">
        <v>658</v>
      </c>
      <c r="H227" s="13" t="s">
        <v>658</v>
      </c>
      <c r="I227" s="13">
        <v>2.5581999999999998</v>
      </c>
      <c r="J227" s="13">
        <v>3.2382</v>
      </c>
      <c r="K227" s="13">
        <v>4.2012</v>
      </c>
      <c r="L227" s="13" t="s">
        <v>658</v>
      </c>
      <c r="M227" s="13">
        <v>3.8856999999999999</v>
      </c>
      <c r="N227" s="13">
        <v>6.7165999999999997</v>
      </c>
      <c r="O227" s="13">
        <v>7.01</v>
      </c>
      <c r="P227" s="13" t="s">
        <v>658</v>
      </c>
      <c r="Q227" s="13">
        <v>7.21</v>
      </c>
      <c r="R227" s="13">
        <v>10.16</v>
      </c>
      <c r="S227" s="13">
        <v>12.66</v>
      </c>
      <c r="T227" s="13">
        <v>13.24</v>
      </c>
      <c r="U227" s="13">
        <v>13.95</v>
      </c>
      <c r="V227" s="13">
        <v>16.899999999999999</v>
      </c>
      <c r="W227" s="13">
        <v>48.5</v>
      </c>
      <c r="X227" s="13">
        <v>26.2</v>
      </c>
    </row>
    <row r="228" spans="1:24" x14ac:dyDescent="0.2">
      <c r="A228" s="10" t="s">
        <v>632</v>
      </c>
      <c r="B228" s="10" t="s">
        <v>633</v>
      </c>
      <c r="C228" s="13" t="s">
        <v>658</v>
      </c>
      <c r="D228" s="13" t="s">
        <v>658</v>
      </c>
      <c r="E228" s="13" t="s">
        <v>658</v>
      </c>
      <c r="F228" s="13" t="s">
        <v>658</v>
      </c>
      <c r="G228" s="13" t="s">
        <v>658</v>
      </c>
      <c r="H228" s="13" t="s">
        <v>658</v>
      </c>
      <c r="I228" s="13" t="s">
        <v>658</v>
      </c>
      <c r="J228" s="13" t="s">
        <v>658</v>
      </c>
      <c r="K228" s="13" t="s">
        <v>658</v>
      </c>
      <c r="L228" s="13" t="s">
        <v>658</v>
      </c>
      <c r="M228" s="13">
        <v>-0.12089999999999999</v>
      </c>
      <c r="N228" s="13">
        <v>-0.12909999999999999</v>
      </c>
      <c r="O228" s="13">
        <v>0</v>
      </c>
      <c r="P228" s="13" t="s">
        <v>658</v>
      </c>
      <c r="Q228" s="13" t="s">
        <v>658</v>
      </c>
      <c r="R228" s="13" t="s">
        <v>658</v>
      </c>
      <c r="S228" s="13" t="s">
        <v>658</v>
      </c>
      <c r="T228" s="13" t="s">
        <v>658</v>
      </c>
      <c r="U228" s="13" t="s">
        <v>658</v>
      </c>
      <c r="V228" s="13" t="s">
        <v>658</v>
      </c>
      <c r="W228" s="13" t="s">
        <v>658</v>
      </c>
      <c r="X228" s="13" t="s">
        <v>658</v>
      </c>
    </row>
    <row r="229" spans="1:24" x14ac:dyDescent="0.2">
      <c r="A229" s="10" t="s">
        <v>634</v>
      </c>
      <c r="B229" s="10" t="s">
        <v>635</v>
      </c>
      <c r="C229" s="13" t="s">
        <v>658</v>
      </c>
      <c r="D229" s="13" t="s">
        <v>658</v>
      </c>
      <c r="E229" s="13" t="s">
        <v>658</v>
      </c>
      <c r="F229" s="13" t="s">
        <v>658</v>
      </c>
      <c r="G229" s="13" t="s">
        <v>658</v>
      </c>
      <c r="H229" s="13" t="s">
        <v>658</v>
      </c>
      <c r="I229" s="13" t="s">
        <v>658</v>
      </c>
      <c r="J229" s="13">
        <v>2.9110999999999998</v>
      </c>
      <c r="K229" s="13">
        <v>-6.1087999999999996</v>
      </c>
      <c r="L229" s="13" t="s">
        <v>658</v>
      </c>
      <c r="M229" s="13">
        <v>12.065300000000001</v>
      </c>
      <c r="N229" s="13">
        <v>11.6122</v>
      </c>
      <c r="O229" s="13">
        <v>-5.33</v>
      </c>
      <c r="P229" s="13">
        <v>10.73</v>
      </c>
      <c r="Q229" s="13">
        <v>-17.28</v>
      </c>
      <c r="R229" s="13">
        <v>0.04</v>
      </c>
      <c r="S229" s="13">
        <v>21.72</v>
      </c>
      <c r="T229" s="13">
        <v>20.65</v>
      </c>
      <c r="U229" s="13">
        <v>-10.050000000000001</v>
      </c>
      <c r="V229" s="13">
        <v>-9.1</v>
      </c>
      <c r="W229" s="13">
        <v>0.1</v>
      </c>
      <c r="X229" s="13">
        <v>0</v>
      </c>
    </row>
    <row r="230" spans="1:24" x14ac:dyDescent="0.2">
      <c r="A230" s="10" t="s">
        <v>636</v>
      </c>
      <c r="B230" s="10" t="s">
        <v>637</v>
      </c>
      <c r="C230" s="14" t="s">
        <v>658</v>
      </c>
      <c r="D230" s="14" t="s">
        <v>658</v>
      </c>
      <c r="E230" s="14" t="s">
        <v>658</v>
      </c>
      <c r="F230" s="14" t="s">
        <v>658</v>
      </c>
      <c r="G230" s="14" t="s">
        <v>658</v>
      </c>
      <c r="H230" s="14" t="s">
        <v>658</v>
      </c>
      <c r="I230" s="14" t="s">
        <v>658</v>
      </c>
      <c r="J230" s="14" t="s">
        <v>658</v>
      </c>
      <c r="K230" s="14" t="s">
        <v>658</v>
      </c>
      <c r="L230" s="14" t="s">
        <v>658</v>
      </c>
      <c r="M230" s="14" t="s">
        <v>658</v>
      </c>
      <c r="N230" s="14" t="s">
        <v>658</v>
      </c>
      <c r="O230" s="14" t="s">
        <v>658</v>
      </c>
      <c r="P230" s="14" t="s">
        <v>658</v>
      </c>
      <c r="Q230" s="14" t="s">
        <v>658</v>
      </c>
      <c r="R230" s="14">
        <v>5159</v>
      </c>
      <c r="S230" s="14">
        <v>5545</v>
      </c>
      <c r="T230" s="14">
        <v>6072</v>
      </c>
      <c r="U230" s="14">
        <v>6459</v>
      </c>
      <c r="V230" s="14">
        <v>6789</v>
      </c>
      <c r="W230" s="14">
        <v>6825</v>
      </c>
      <c r="X230" s="14">
        <v>4962</v>
      </c>
    </row>
    <row r="231" spans="1:24" x14ac:dyDescent="0.2">
      <c r="A231" s="10" t="s">
        <v>638</v>
      </c>
      <c r="B231" s="10" t="s">
        <v>639</v>
      </c>
      <c r="C231" s="13">
        <v>20</v>
      </c>
      <c r="D231" s="13" t="s">
        <v>658</v>
      </c>
      <c r="E231" s="13" t="s">
        <v>658</v>
      </c>
      <c r="F231" s="13" t="s">
        <v>658</v>
      </c>
      <c r="G231" s="13" t="s">
        <v>658</v>
      </c>
      <c r="H231" s="13" t="s">
        <v>658</v>
      </c>
      <c r="I231" s="13">
        <v>39.161099999999998</v>
      </c>
      <c r="J231" s="13" t="s">
        <v>658</v>
      </c>
      <c r="K231" s="13" t="s">
        <v>658</v>
      </c>
      <c r="L231" s="13" t="s">
        <v>658</v>
      </c>
      <c r="M231" s="13" t="s">
        <v>658</v>
      </c>
      <c r="N231" s="13" t="s">
        <v>658</v>
      </c>
      <c r="O231" s="13" t="s">
        <v>658</v>
      </c>
      <c r="P231" s="13" t="s">
        <v>658</v>
      </c>
      <c r="Q231" s="13" t="s">
        <v>658</v>
      </c>
      <c r="R231" s="13" t="s">
        <v>658</v>
      </c>
      <c r="S231" s="13" t="s">
        <v>658</v>
      </c>
      <c r="T231" s="13" t="s">
        <v>658</v>
      </c>
      <c r="U231" s="13" t="s">
        <v>658</v>
      </c>
      <c r="V231" s="13" t="s">
        <v>658</v>
      </c>
      <c r="W231" s="13" t="s">
        <v>658</v>
      </c>
      <c r="X231" s="13" t="s">
        <v>658</v>
      </c>
    </row>
    <row r="232" spans="1:24" x14ac:dyDescent="0.2">
      <c r="A232" s="10" t="s">
        <v>640</v>
      </c>
      <c r="B232" s="10" t="s">
        <v>641</v>
      </c>
      <c r="C232" s="13">
        <v>26.19</v>
      </c>
      <c r="D232" s="13" t="s">
        <v>658</v>
      </c>
      <c r="E232" s="13" t="s">
        <v>658</v>
      </c>
      <c r="F232" s="13" t="s">
        <v>658</v>
      </c>
      <c r="G232" s="13" t="s">
        <v>658</v>
      </c>
      <c r="H232" s="13" t="s">
        <v>658</v>
      </c>
      <c r="I232" s="13" t="s">
        <v>658</v>
      </c>
      <c r="J232" s="13" t="s">
        <v>658</v>
      </c>
      <c r="K232" s="13" t="s">
        <v>658</v>
      </c>
      <c r="L232" s="13" t="s">
        <v>658</v>
      </c>
      <c r="M232" s="13" t="s">
        <v>658</v>
      </c>
      <c r="N232" s="13" t="s">
        <v>658</v>
      </c>
      <c r="O232" s="13" t="s">
        <v>658</v>
      </c>
      <c r="P232" s="13" t="s">
        <v>658</v>
      </c>
      <c r="Q232" s="13" t="s">
        <v>658</v>
      </c>
      <c r="R232" s="13" t="s">
        <v>658</v>
      </c>
      <c r="S232" s="13" t="s">
        <v>658</v>
      </c>
      <c r="T232" s="13" t="s">
        <v>658</v>
      </c>
      <c r="U232" s="13" t="s">
        <v>658</v>
      </c>
      <c r="V232" s="13" t="s">
        <v>658</v>
      </c>
      <c r="W232" s="13" t="s">
        <v>658</v>
      </c>
      <c r="X232" s="13" t="s">
        <v>658</v>
      </c>
    </row>
    <row r="233" spans="1:24" x14ac:dyDescent="0.2">
      <c r="A233" s="10" t="s">
        <v>642</v>
      </c>
      <c r="B233" s="10" t="s">
        <v>643</v>
      </c>
      <c r="C233" s="13">
        <v>11.5875</v>
      </c>
      <c r="D233" s="13">
        <v>7.3117000000000001</v>
      </c>
      <c r="E233" s="13">
        <v>7.0080999999999998</v>
      </c>
      <c r="F233" s="13">
        <v>7.4901</v>
      </c>
      <c r="G233" s="13" t="s">
        <v>658</v>
      </c>
      <c r="H233" s="13" t="s">
        <v>658</v>
      </c>
      <c r="I233" s="13" t="s">
        <v>658</v>
      </c>
      <c r="J233" s="13" t="s">
        <v>658</v>
      </c>
      <c r="K233" s="13" t="s">
        <v>658</v>
      </c>
      <c r="L233" s="13" t="s">
        <v>658</v>
      </c>
      <c r="M233" s="13" t="s">
        <v>658</v>
      </c>
      <c r="N233" s="13" t="s">
        <v>658</v>
      </c>
      <c r="O233" s="13" t="s">
        <v>658</v>
      </c>
      <c r="P233" s="13" t="s">
        <v>658</v>
      </c>
      <c r="Q233" s="13" t="s">
        <v>658</v>
      </c>
      <c r="R233" s="13" t="s">
        <v>658</v>
      </c>
      <c r="S233" s="13" t="s">
        <v>658</v>
      </c>
      <c r="T233" s="13" t="s">
        <v>658</v>
      </c>
      <c r="U233" s="13" t="s">
        <v>658</v>
      </c>
      <c r="V233" s="13" t="s">
        <v>658</v>
      </c>
      <c r="W233" s="13" t="s">
        <v>658</v>
      </c>
      <c r="X233" s="13" t="s">
        <v>658</v>
      </c>
    </row>
    <row r="234" spans="1:24" x14ac:dyDescent="0.2">
      <c r="A234" s="7" t="s">
        <v>112</v>
      </c>
      <c r="B234" s="7"/>
      <c r="C234" s="7" t="s">
        <v>3</v>
      </c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99"/>
  <sheetViews>
    <sheetView workbookViewId="0">
      <selection activeCell="A2" sqref="A2:X99"/>
    </sheetView>
  </sheetViews>
  <sheetFormatPr baseColWidth="10" defaultColWidth="8.83203125" defaultRowHeight="15" x14ac:dyDescent="0.2"/>
  <cols>
    <col min="1" max="1" width="35.1640625" customWidth="1"/>
    <col min="2" max="2" width="0" hidden="1" customWidth="1"/>
    <col min="3" max="24" width="11.83203125" customWidth="1"/>
  </cols>
  <sheetData>
    <row r="1" spans="1:2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" x14ac:dyDescent="0.2">
      <c r="A2" s="8" t="s">
        <v>644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">
      <c r="A4" s="3" t="s">
        <v>6</v>
      </c>
      <c r="B4" s="3"/>
      <c r="C4" s="4" t="s">
        <v>114</v>
      </c>
      <c r="D4" s="4" t="s">
        <v>4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</row>
    <row r="5" spans="1:24" x14ac:dyDescent="0.2">
      <c r="A5" s="9" t="s">
        <v>30</v>
      </c>
      <c r="B5" s="9"/>
      <c r="C5" s="5" t="s">
        <v>116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36</v>
      </c>
      <c r="J5" s="5" t="s">
        <v>37</v>
      </c>
      <c r="K5" s="5" t="s">
        <v>38</v>
      </c>
      <c r="L5" s="5" t="s">
        <v>39</v>
      </c>
      <c r="M5" s="5" t="s">
        <v>40</v>
      </c>
      <c r="N5" s="5" t="s">
        <v>41</v>
      </c>
      <c r="O5" s="5" t="s">
        <v>42</v>
      </c>
      <c r="P5" s="5" t="s">
        <v>43</v>
      </c>
      <c r="Q5" s="5" t="s">
        <v>44</v>
      </c>
      <c r="R5" s="5" t="s">
        <v>45</v>
      </c>
      <c r="S5" s="5" t="s">
        <v>46</v>
      </c>
      <c r="T5" s="5" t="s">
        <v>47</v>
      </c>
      <c r="U5" s="5" t="s">
        <v>48</v>
      </c>
      <c r="V5" s="5" t="s">
        <v>49</v>
      </c>
      <c r="W5" s="5" t="s">
        <v>50</v>
      </c>
      <c r="X5" s="5" t="s">
        <v>51</v>
      </c>
    </row>
    <row r="6" spans="1:24" x14ac:dyDescent="0.2">
      <c r="A6" s="6" t="s">
        <v>317</v>
      </c>
      <c r="B6" s="6" t="s">
        <v>645</v>
      </c>
      <c r="C6" s="19">
        <v>945.41719999999998</v>
      </c>
      <c r="D6" s="19">
        <v>1873.3888999999999</v>
      </c>
      <c r="E6" s="19">
        <v>2005.4768999999999</v>
      </c>
      <c r="F6" s="19">
        <v>2037.2995000000001</v>
      </c>
      <c r="G6" s="19">
        <v>2107.6210999999998</v>
      </c>
      <c r="H6" s="19">
        <v>3136.6482999999998</v>
      </c>
      <c r="I6" s="19">
        <v>2855.2604999999999</v>
      </c>
      <c r="J6" s="19">
        <v>3026.9189999999999</v>
      </c>
      <c r="K6" s="19">
        <v>3925.0416</v>
      </c>
      <c r="L6" s="19">
        <v>4374.8941999999997</v>
      </c>
      <c r="M6" s="19">
        <v>6507.9997999999996</v>
      </c>
      <c r="N6" s="19">
        <v>6761.8143</v>
      </c>
      <c r="O6" s="19">
        <v>7376.8</v>
      </c>
      <c r="P6" s="19">
        <v>7147.23</v>
      </c>
      <c r="Q6" s="19">
        <v>7625.05</v>
      </c>
      <c r="R6" s="19">
        <v>8672.2000000000007</v>
      </c>
      <c r="S6" s="19">
        <v>10100.34</v>
      </c>
      <c r="T6" s="19">
        <v>9080.66</v>
      </c>
      <c r="U6" s="19">
        <v>11097.41</v>
      </c>
      <c r="V6" s="19">
        <v>12813.4</v>
      </c>
      <c r="W6" s="19">
        <v>14632.6</v>
      </c>
      <c r="X6" s="19">
        <v>20564</v>
      </c>
    </row>
    <row r="7" spans="1:24" x14ac:dyDescent="0.2">
      <c r="A7" s="6" t="s">
        <v>317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spans="1:24" x14ac:dyDescent="0.2">
      <c r="A8" s="10" t="s">
        <v>646</v>
      </c>
      <c r="B8" s="10" t="s">
        <v>647</v>
      </c>
      <c r="C8" s="13">
        <v>9.6264904432268192</v>
      </c>
      <c r="D8" s="13">
        <v>54.412826524911502</v>
      </c>
      <c r="E8" s="13">
        <v>4.53433738924209</v>
      </c>
      <c r="F8" s="13">
        <v>11.747768215453799</v>
      </c>
      <c r="G8" s="13">
        <v>2.2391857687939098</v>
      </c>
      <c r="H8" s="13">
        <v>6.5327106056421602</v>
      </c>
      <c r="I8" s="13">
        <v>4.7447130308152499</v>
      </c>
      <c r="J8" s="13">
        <v>18.622114890464101</v>
      </c>
      <c r="K8" s="13">
        <v>11.296825322966299</v>
      </c>
      <c r="L8" s="13">
        <v>16.942882030962899</v>
      </c>
      <c r="M8" s="13">
        <v>16.5734477820419</v>
      </c>
      <c r="N8" s="13">
        <v>18.0308013280899</v>
      </c>
      <c r="O8" s="13">
        <v>18.7123142826158</v>
      </c>
      <c r="P8" s="13">
        <v>16.469037655147499</v>
      </c>
      <c r="Q8" s="13">
        <v>13.8553845548554</v>
      </c>
      <c r="R8" s="13">
        <v>13.7072484490671</v>
      </c>
      <c r="S8" s="13">
        <v>22.199054685287798</v>
      </c>
      <c r="T8" s="13">
        <v>28.461807842161299</v>
      </c>
      <c r="U8" s="13">
        <v>38.902320451348601</v>
      </c>
      <c r="V8" s="13">
        <v>31.318775656734399</v>
      </c>
      <c r="W8" s="13">
        <v>31.3177425747987</v>
      </c>
      <c r="X8" s="13">
        <v>17.765512546197201</v>
      </c>
    </row>
    <row r="9" spans="1:24" x14ac:dyDescent="0.2">
      <c r="A9" s="10" t="s">
        <v>648</v>
      </c>
      <c r="B9" s="10" t="s">
        <v>649</v>
      </c>
      <c r="C9" s="13">
        <v>5.2700969812612097</v>
      </c>
      <c r="D9" s="13">
        <v>2.98836688537342</v>
      </c>
      <c r="E9" s="13">
        <v>4.4589864341404404</v>
      </c>
      <c r="F9" s="13">
        <v>2.6231495404660401</v>
      </c>
      <c r="G9" s="13">
        <v>1.7324918977182799</v>
      </c>
      <c r="H9" s="13">
        <v>3.0843008448801599</v>
      </c>
      <c r="I9" s="13">
        <v>4.0498699610440001</v>
      </c>
      <c r="J9" s="13">
        <v>2.2397315204234798</v>
      </c>
      <c r="K9" s="13">
        <v>6.3795025379605104</v>
      </c>
      <c r="L9" s="13">
        <v>4.9933463338870903</v>
      </c>
      <c r="M9" s="13">
        <v>7.1382836299035297</v>
      </c>
      <c r="N9" s="13">
        <v>9.5904208589095301</v>
      </c>
      <c r="O9" s="13">
        <v>8.3384394317319206</v>
      </c>
      <c r="P9" s="13">
        <v>9.7415362315190599</v>
      </c>
      <c r="Q9" s="13">
        <v>11.062091396122</v>
      </c>
      <c r="R9" s="13">
        <v>8.4663637831230805</v>
      </c>
      <c r="S9" s="13">
        <v>19.674981238255299</v>
      </c>
      <c r="T9" s="13">
        <v>12.391830549761799</v>
      </c>
      <c r="U9" s="13">
        <v>18.6841794616942</v>
      </c>
      <c r="V9" s="13">
        <v>12.009302761171901</v>
      </c>
      <c r="W9" s="13">
        <v>8.9696977980673296</v>
      </c>
      <c r="X9" s="13">
        <v>11.085391947092001</v>
      </c>
    </row>
    <row r="10" spans="1:24" x14ac:dyDescent="0.2">
      <c r="A10" s="10" t="s">
        <v>650</v>
      </c>
      <c r="B10" s="10" t="s">
        <v>651</v>
      </c>
      <c r="C10" s="13">
        <v>4.3563934619656104</v>
      </c>
      <c r="D10" s="13">
        <v>51.4244596395381</v>
      </c>
      <c r="E10" s="13">
        <v>7.5350955101650893E-2</v>
      </c>
      <c r="F10" s="13">
        <v>9.1246186749877207</v>
      </c>
      <c r="G10" s="13">
        <v>0.50669387107562802</v>
      </c>
      <c r="H10" s="13">
        <v>3.4484097607619999</v>
      </c>
      <c r="I10" s="13">
        <v>0.69484306977124899</v>
      </c>
      <c r="J10" s="13">
        <v>16.382383370040699</v>
      </c>
      <c r="K10" s="13">
        <v>4.9173227850057897</v>
      </c>
      <c r="L10" s="13">
        <v>11.949535697075801</v>
      </c>
      <c r="M10" s="13">
        <v>9.4351641521383502</v>
      </c>
      <c r="N10" s="13">
        <v>8.4403804691803508</v>
      </c>
      <c r="O10" s="13">
        <v>10.373874850883899</v>
      </c>
      <c r="P10" s="13">
        <v>6.7275014236284498</v>
      </c>
      <c r="Q10" s="13">
        <v>2.7932931587333898</v>
      </c>
      <c r="R10" s="13">
        <v>5.2408846659440496</v>
      </c>
      <c r="S10" s="13">
        <v>2.5240734470324799</v>
      </c>
      <c r="T10" s="13">
        <v>16.0699772923995</v>
      </c>
      <c r="U10" s="13">
        <v>20.218140989654302</v>
      </c>
      <c r="V10" s="13">
        <v>19.3094728955625</v>
      </c>
      <c r="W10" s="13">
        <v>22.348044776731399</v>
      </c>
      <c r="X10" s="13">
        <v>6.6801205991052299</v>
      </c>
    </row>
    <row r="11" spans="1:24" x14ac:dyDescent="0.2">
      <c r="A11" s="10" t="s">
        <v>652</v>
      </c>
      <c r="B11" s="10" t="s">
        <v>653</v>
      </c>
      <c r="C11" s="13">
        <v>26.579262429836898</v>
      </c>
      <c r="D11" s="13">
        <v>23.7571710390113</v>
      </c>
      <c r="E11" s="13">
        <v>23.684488887720899</v>
      </c>
      <c r="F11" s="13">
        <v>22.636197725200201</v>
      </c>
      <c r="G11" s="13">
        <v>23.396177671236</v>
      </c>
      <c r="H11" s="13">
        <v>20.266693485782501</v>
      </c>
      <c r="I11" s="13">
        <v>17.4655382114688</v>
      </c>
      <c r="J11" s="13">
        <v>18.8265313973431</v>
      </c>
      <c r="K11" s="13">
        <v>22.6938470881583</v>
      </c>
      <c r="L11" s="13">
        <v>24.5581052122354</v>
      </c>
      <c r="M11" s="13">
        <v>23.344699348315501</v>
      </c>
      <c r="N11" s="13">
        <v>24.366763192677801</v>
      </c>
      <c r="O11" s="13">
        <v>25.072117991540999</v>
      </c>
      <c r="P11" s="13">
        <v>26.7907986730524</v>
      </c>
      <c r="Q11" s="13">
        <v>26.8572665097278</v>
      </c>
      <c r="R11" s="13">
        <v>28.382302068679198</v>
      </c>
      <c r="S11" s="13">
        <v>26.974438484248999</v>
      </c>
      <c r="T11" s="13">
        <v>20.207892377866798</v>
      </c>
      <c r="U11" s="13">
        <v>22.032528310659899</v>
      </c>
      <c r="V11" s="13">
        <v>20.9889646776031</v>
      </c>
      <c r="W11" s="13">
        <v>19.568634419036901</v>
      </c>
      <c r="X11" s="13">
        <v>14.6771056214744</v>
      </c>
    </row>
    <row r="12" spans="1:24" x14ac:dyDescent="0.2">
      <c r="A12" s="10" t="s">
        <v>654</v>
      </c>
      <c r="B12" s="10" t="s">
        <v>655</v>
      </c>
      <c r="C12" s="13">
        <v>26.579262429836898</v>
      </c>
      <c r="D12" s="13">
        <v>23.7571710390113</v>
      </c>
      <c r="E12" s="13">
        <v>23.684488887720899</v>
      </c>
      <c r="F12" s="13">
        <v>22.636197725200201</v>
      </c>
      <c r="G12" s="13">
        <v>23.396177671236</v>
      </c>
      <c r="H12" s="13">
        <v>20.266693485782501</v>
      </c>
      <c r="I12" s="13">
        <v>17.4655382114688</v>
      </c>
      <c r="J12" s="13">
        <v>18.8265313973431</v>
      </c>
      <c r="K12" s="13">
        <v>22.6938470881583</v>
      </c>
      <c r="L12" s="13">
        <v>24.5581052122354</v>
      </c>
      <c r="M12" s="13">
        <v>23.344699348315501</v>
      </c>
      <c r="N12" s="13">
        <v>24.366763192677801</v>
      </c>
      <c r="O12" s="13">
        <v>25.072117991540999</v>
      </c>
      <c r="P12" s="13">
        <v>26.7907986730524</v>
      </c>
      <c r="Q12" s="13">
        <v>26.8572665097278</v>
      </c>
      <c r="R12" s="13">
        <v>28.382302068679198</v>
      </c>
      <c r="S12" s="13">
        <v>26.974438484248999</v>
      </c>
      <c r="T12" s="13">
        <v>20.207892377866798</v>
      </c>
      <c r="U12" s="13">
        <v>22.032528310659899</v>
      </c>
      <c r="V12" s="13">
        <v>20.9889646776031</v>
      </c>
      <c r="W12" s="13">
        <v>19.568634419036901</v>
      </c>
      <c r="X12" s="13">
        <v>14.6771056214744</v>
      </c>
    </row>
    <row r="13" spans="1:24" x14ac:dyDescent="0.2">
      <c r="A13" s="10" t="s">
        <v>656</v>
      </c>
      <c r="B13" s="10" t="s">
        <v>657</v>
      </c>
      <c r="C13" s="13" t="s">
        <v>658</v>
      </c>
      <c r="D13" s="13" t="s">
        <v>658</v>
      </c>
      <c r="E13" s="13" t="s">
        <v>658</v>
      </c>
      <c r="F13" s="13" t="s">
        <v>658</v>
      </c>
      <c r="G13" s="13" t="s">
        <v>658</v>
      </c>
      <c r="H13" s="13" t="s">
        <v>658</v>
      </c>
      <c r="I13" s="13" t="s">
        <v>658</v>
      </c>
      <c r="J13" s="13" t="s">
        <v>658</v>
      </c>
      <c r="K13" s="13" t="s">
        <v>658</v>
      </c>
      <c r="L13" s="13" t="s">
        <v>658</v>
      </c>
      <c r="M13" s="13" t="s">
        <v>658</v>
      </c>
      <c r="N13" s="13" t="s">
        <v>658</v>
      </c>
      <c r="O13" s="13" t="s">
        <v>658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</row>
    <row r="14" spans="1:24" x14ac:dyDescent="0.2">
      <c r="A14" s="10" t="s">
        <v>659</v>
      </c>
      <c r="B14" s="10" t="s">
        <v>660</v>
      </c>
      <c r="C14" s="13" t="s">
        <v>658</v>
      </c>
      <c r="D14" s="13" t="s">
        <v>658</v>
      </c>
      <c r="E14" s="13" t="s">
        <v>658</v>
      </c>
      <c r="F14" s="13" t="s">
        <v>658</v>
      </c>
      <c r="G14" s="13" t="s">
        <v>658</v>
      </c>
      <c r="H14" s="13" t="s">
        <v>658</v>
      </c>
      <c r="I14" s="13" t="s">
        <v>658</v>
      </c>
      <c r="J14" s="13" t="s">
        <v>658</v>
      </c>
      <c r="K14" s="13" t="s">
        <v>658</v>
      </c>
      <c r="L14" s="13" t="s">
        <v>658</v>
      </c>
      <c r="M14" s="13" t="s">
        <v>658</v>
      </c>
      <c r="N14" s="13" t="s">
        <v>658</v>
      </c>
      <c r="O14" s="13" t="s">
        <v>658</v>
      </c>
      <c r="P14" s="13" t="s">
        <v>658</v>
      </c>
      <c r="Q14" s="13" t="s">
        <v>658</v>
      </c>
      <c r="R14" s="13" t="s">
        <v>658</v>
      </c>
      <c r="S14" s="13" t="s">
        <v>658</v>
      </c>
      <c r="T14" s="13" t="s">
        <v>658</v>
      </c>
      <c r="U14" s="13">
        <v>6.7739229243580299</v>
      </c>
      <c r="V14" s="13" t="s">
        <v>658</v>
      </c>
      <c r="W14" s="13" t="s">
        <v>658</v>
      </c>
      <c r="X14" s="13" t="s">
        <v>658</v>
      </c>
    </row>
    <row r="15" spans="1:24" x14ac:dyDescent="0.2">
      <c r="A15" s="10" t="s">
        <v>661</v>
      </c>
      <c r="B15" s="10" t="s">
        <v>662</v>
      </c>
      <c r="C15" s="13">
        <v>1.2256513110204501</v>
      </c>
      <c r="D15" s="13">
        <v>0.39029140919717098</v>
      </c>
      <c r="E15" s="13">
        <v>0.34944810349154498</v>
      </c>
      <c r="F15" s="13">
        <v>0.367648353429464</v>
      </c>
      <c r="G15" s="13" t="s">
        <v>658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</row>
    <row r="16" spans="1:24" x14ac:dyDescent="0.2">
      <c r="A16" s="10" t="s">
        <v>663</v>
      </c>
      <c r="B16" s="10" t="s">
        <v>664</v>
      </c>
      <c r="C16" s="13" t="s">
        <v>658</v>
      </c>
      <c r="D16" s="13">
        <v>0</v>
      </c>
      <c r="E16" s="13" t="s">
        <v>658</v>
      </c>
      <c r="F16" s="13" t="s">
        <v>658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</row>
    <row r="17" spans="1:24" x14ac:dyDescent="0.2">
      <c r="A17" s="10" t="s">
        <v>665</v>
      </c>
      <c r="B17" s="10" t="s">
        <v>666</v>
      </c>
      <c r="C17" s="13">
        <v>1.2256513110204501</v>
      </c>
      <c r="D17" s="13">
        <v>0.39029140919717098</v>
      </c>
      <c r="E17" s="13">
        <v>0.34944810349154498</v>
      </c>
      <c r="F17" s="13">
        <v>0.367648353429464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</row>
    <row r="18" spans="1:24" x14ac:dyDescent="0.2">
      <c r="A18" s="10" t="s">
        <v>667</v>
      </c>
      <c r="B18" s="10" t="s">
        <v>668</v>
      </c>
      <c r="C18" s="13" t="s">
        <v>658</v>
      </c>
      <c r="D18" s="13">
        <v>0</v>
      </c>
      <c r="E18" s="13" t="s">
        <v>658</v>
      </c>
      <c r="F18" s="13" t="s">
        <v>658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</row>
    <row r="19" spans="1:24" x14ac:dyDescent="0.2">
      <c r="A19" s="10" t="s">
        <v>669</v>
      </c>
      <c r="B19" s="10" t="s">
        <v>670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</row>
    <row r="20" spans="1:24" x14ac:dyDescent="0.2">
      <c r="A20" s="10" t="s">
        <v>671</v>
      </c>
      <c r="B20" s="10" t="s">
        <v>672</v>
      </c>
      <c r="C20" s="13">
        <v>7.2278371714581997</v>
      </c>
      <c r="D20" s="13">
        <v>4.0164316313271096</v>
      </c>
      <c r="E20" s="13">
        <v>7.0310973843367703</v>
      </c>
      <c r="F20" s="13">
        <v>6.3968944748399004</v>
      </c>
      <c r="G20" s="13">
        <v>6.5046229713417301</v>
      </c>
      <c r="H20" s="13">
        <v>18.830372318567701</v>
      </c>
      <c r="I20" s="13">
        <v>27.4715961805212</v>
      </c>
      <c r="J20" s="13">
        <v>18.4175493211206</v>
      </c>
      <c r="K20" s="13">
        <v>11.534292897644001</v>
      </c>
      <c r="L20" s="13">
        <v>9.7726952848884707</v>
      </c>
      <c r="M20" s="13">
        <v>12.783123853960801</v>
      </c>
      <c r="N20" s="13">
        <v>11.2971106492556</v>
      </c>
      <c r="O20" s="13">
        <v>9.3878104327079495</v>
      </c>
      <c r="P20" s="13">
        <v>11.8679544382929</v>
      </c>
      <c r="Q20" s="13">
        <v>11.327663425157899</v>
      </c>
      <c r="R20" s="13">
        <v>11.6890754364521</v>
      </c>
      <c r="S20" s="13">
        <v>11.8250474736494</v>
      </c>
      <c r="T20" s="13">
        <v>21.968116854942298</v>
      </c>
      <c r="U20" s="13">
        <v>4.5398881360605801</v>
      </c>
      <c r="V20" s="13">
        <v>19.289962070956999</v>
      </c>
      <c r="W20" s="13">
        <v>13.7091152631795</v>
      </c>
      <c r="X20" s="13">
        <v>10.848570317058901</v>
      </c>
    </row>
    <row r="21" spans="1:24" x14ac:dyDescent="0.2">
      <c r="A21" s="10" t="s">
        <v>673</v>
      </c>
      <c r="B21" s="10" t="s">
        <v>674</v>
      </c>
      <c r="C21" s="13" t="s">
        <v>658</v>
      </c>
      <c r="D21" s="13" t="s">
        <v>658</v>
      </c>
      <c r="E21" s="13" t="s">
        <v>658</v>
      </c>
      <c r="F21" s="13" t="s">
        <v>658</v>
      </c>
      <c r="G21" s="13" t="s">
        <v>658</v>
      </c>
      <c r="H21" s="13" t="s">
        <v>658</v>
      </c>
      <c r="I21" s="13" t="s">
        <v>658</v>
      </c>
      <c r="J21" s="13" t="s">
        <v>658</v>
      </c>
      <c r="K21" s="13" t="s">
        <v>658</v>
      </c>
      <c r="L21" s="13" t="s">
        <v>658</v>
      </c>
      <c r="M21" s="13" t="s">
        <v>658</v>
      </c>
      <c r="N21" s="13" t="s">
        <v>658</v>
      </c>
      <c r="O21" s="13" t="s">
        <v>658</v>
      </c>
      <c r="P21" s="13">
        <v>1.6599437824164001</v>
      </c>
      <c r="Q21" s="13">
        <v>1.5696946249532799</v>
      </c>
      <c r="R21" s="13">
        <v>1.9329581882336699</v>
      </c>
      <c r="S21" s="13">
        <v>2.08903858681985</v>
      </c>
      <c r="T21" s="13">
        <v>2.03883858662256</v>
      </c>
      <c r="U21" s="13">
        <v>1.85106254522452</v>
      </c>
      <c r="V21" s="13">
        <v>2.35846847831177</v>
      </c>
      <c r="W21" s="13">
        <v>2.29214220302612</v>
      </c>
      <c r="X21" s="13">
        <v>2.0035012643454602</v>
      </c>
    </row>
    <row r="22" spans="1:24" x14ac:dyDescent="0.2">
      <c r="A22" s="10" t="s">
        <v>675</v>
      </c>
      <c r="B22" s="10" t="s">
        <v>676</v>
      </c>
      <c r="C22" s="13" t="s">
        <v>658</v>
      </c>
      <c r="D22" s="13" t="s">
        <v>658</v>
      </c>
      <c r="E22" s="13" t="s">
        <v>658</v>
      </c>
      <c r="F22" s="13" t="s">
        <v>658</v>
      </c>
      <c r="G22" s="13" t="s">
        <v>658</v>
      </c>
      <c r="H22" s="13" t="s">
        <v>658</v>
      </c>
      <c r="I22" s="13" t="s">
        <v>658</v>
      </c>
      <c r="J22" s="13" t="s">
        <v>658</v>
      </c>
      <c r="K22" s="13" t="s">
        <v>658</v>
      </c>
      <c r="L22" s="13" t="s">
        <v>658</v>
      </c>
      <c r="M22" s="13" t="s">
        <v>658</v>
      </c>
      <c r="N22" s="13" t="s">
        <v>658</v>
      </c>
      <c r="O22" s="13" t="s">
        <v>658</v>
      </c>
      <c r="P22" s="13" t="s">
        <v>658</v>
      </c>
      <c r="Q22" s="13">
        <v>0</v>
      </c>
      <c r="R22" s="13">
        <v>0</v>
      </c>
      <c r="S22" s="13" t="s">
        <v>658</v>
      </c>
      <c r="T22" s="13" t="s">
        <v>658</v>
      </c>
      <c r="U22" s="13" t="s">
        <v>658</v>
      </c>
      <c r="V22" s="13" t="s">
        <v>658</v>
      </c>
      <c r="W22" s="13" t="s">
        <v>658</v>
      </c>
      <c r="X22" s="13" t="s">
        <v>658</v>
      </c>
    </row>
    <row r="23" spans="1:24" x14ac:dyDescent="0.2">
      <c r="A23" s="10" t="s">
        <v>677</v>
      </c>
      <c r="B23" s="10" t="s">
        <v>678</v>
      </c>
      <c r="C23" s="13" t="s">
        <v>658</v>
      </c>
      <c r="D23" s="13" t="s">
        <v>658</v>
      </c>
      <c r="E23" s="13" t="s">
        <v>658</v>
      </c>
      <c r="F23" s="13" t="s">
        <v>658</v>
      </c>
      <c r="G23" s="13" t="s">
        <v>658</v>
      </c>
      <c r="H23" s="13" t="s">
        <v>658</v>
      </c>
      <c r="I23" s="13" t="s">
        <v>658</v>
      </c>
      <c r="J23" s="13" t="s">
        <v>658</v>
      </c>
      <c r="K23" s="13" t="s">
        <v>658</v>
      </c>
      <c r="L23" s="13" t="s">
        <v>658</v>
      </c>
      <c r="M23" s="13" t="s">
        <v>658</v>
      </c>
      <c r="N23" s="13" t="s">
        <v>658</v>
      </c>
      <c r="O23" s="13" t="s">
        <v>658</v>
      </c>
      <c r="P23" s="13" t="s">
        <v>658</v>
      </c>
      <c r="Q23" s="13" t="s">
        <v>658</v>
      </c>
      <c r="R23" s="13">
        <v>0</v>
      </c>
      <c r="S23" s="13">
        <v>0.123758210119659</v>
      </c>
      <c r="T23" s="13">
        <v>0</v>
      </c>
      <c r="U23" s="13">
        <v>0.111197117165176</v>
      </c>
      <c r="V23" s="13">
        <v>1.7801676370050099</v>
      </c>
      <c r="W23" s="13">
        <v>0</v>
      </c>
      <c r="X23" s="13" t="s">
        <v>658</v>
      </c>
    </row>
    <row r="24" spans="1:24" x14ac:dyDescent="0.2">
      <c r="A24" s="10" t="s">
        <v>679</v>
      </c>
      <c r="B24" s="10" t="s">
        <v>680</v>
      </c>
      <c r="C24" s="13" t="s">
        <v>658</v>
      </c>
      <c r="D24" s="13" t="s">
        <v>658</v>
      </c>
      <c r="E24" s="13" t="s">
        <v>658</v>
      </c>
      <c r="F24" s="13" t="s">
        <v>658</v>
      </c>
      <c r="G24" s="13" t="s">
        <v>658</v>
      </c>
      <c r="H24" s="13" t="s">
        <v>658</v>
      </c>
      <c r="I24" s="13" t="s">
        <v>658</v>
      </c>
      <c r="J24" s="13" t="s">
        <v>658</v>
      </c>
      <c r="K24" s="13" t="s">
        <v>658</v>
      </c>
      <c r="L24" s="13" t="s">
        <v>658</v>
      </c>
      <c r="M24" s="13" t="s">
        <v>658</v>
      </c>
      <c r="N24" s="13" t="s">
        <v>658</v>
      </c>
      <c r="O24" s="13" t="s">
        <v>658</v>
      </c>
      <c r="P24" s="13" t="s">
        <v>658</v>
      </c>
      <c r="Q24" s="13">
        <v>0.14963836302712799</v>
      </c>
      <c r="R24" s="13">
        <v>0.21747653421277199</v>
      </c>
      <c r="S24" s="13">
        <v>0.48998350550575498</v>
      </c>
      <c r="T24" s="13">
        <v>0.82945512771098096</v>
      </c>
      <c r="U24" s="13">
        <v>0.57788258701805195</v>
      </c>
      <c r="V24" s="13">
        <v>0.902960962742129</v>
      </c>
      <c r="W24" s="13">
        <v>0.57269384798327005</v>
      </c>
      <c r="X24" s="13">
        <v>0.39340595214938701</v>
      </c>
    </row>
    <row r="25" spans="1:24" x14ac:dyDescent="0.2">
      <c r="A25" s="10" t="s">
        <v>681</v>
      </c>
      <c r="B25" s="10" t="s">
        <v>682</v>
      </c>
      <c r="C25" s="13" t="s">
        <v>658</v>
      </c>
      <c r="D25" s="13" t="s">
        <v>658</v>
      </c>
      <c r="E25" s="13" t="s">
        <v>658</v>
      </c>
      <c r="F25" s="13" t="s">
        <v>658</v>
      </c>
      <c r="G25" s="13" t="s">
        <v>658</v>
      </c>
      <c r="H25" s="13" t="s">
        <v>658</v>
      </c>
      <c r="I25" s="13" t="s">
        <v>658</v>
      </c>
      <c r="J25" s="13" t="s">
        <v>658</v>
      </c>
      <c r="K25" s="13" t="s">
        <v>658</v>
      </c>
      <c r="L25" s="13" t="s">
        <v>658</v>
      </c>
      <c r="M25" s="13" t="s">
        <v>658</v>
      </c>
      <c r="N25" s="13" t="s">
        <v>658</v>
      </c>
      <c r="O25" s="13" t="s">
        <v>658</v>
      </c>
      <c r="P25" s="13">
        <v>10.2080106558765</v>
      </c>
      <c r="Q25" s="13">
        <v>9.6083304371774592</v>
      </c>
      <c r="R25" s="13">
        <v>9.5386407140056697</v>
      </c>
      <c r="S25" s="13">
        <v>9.1222671712041397</v>
      </c>
      <c r="T25" s="13">
        <v>19.099823140608699</v>
      </c>
      <c r="U25" s="13">
        <v>1.9997458866528299</v>
      </c>
      <c r="V25" s="13">
        <v>14.2483649928981</v>
      </c>
      <c r="W25" s="13">
        <v>10.8442792121701</v>
      </c>
      <c r="X25" s="13">
        <v>8.4516631005640903</v>
      </c>
    </row>
    <row r="26" spans="1:24" x14ac:dyDescent="0.2">
      <c r="A26" s="6" t="s">
        <v>346</v>
      </c>
      <c r="B26" s="6" t="s">
        <v>683</v>
      </c>
      <c r="C26" s="19">
        <v>44.659239980488003</v>
      </c>
      <c r="D26" s="19">
        <v>82.576721832168701</v>
      </c>
      <c r="E26" s="19">
        <v>35.5993717647913</v>
      </c>
      <c r="F26" s="19">
        <v>41.1485087689233</v>
      </c>
      <c r="G26" s="19">
        <v>32.139986411371702</v>
      </c>
      <c r="H26" s="19">
        <v>45.629776409992402</v>
      </c>
      <c r="I26" s="19">
        <v>49.681847422805198</v>
      </c>
      <c r="J26" s="19">
        <v>55.866195608927796</v>
      </c>
      <c r="K26" s="19">
        <v>45.5249653087686</v>
      </c>
      <c r="L26" s="19">
        <v>51.273682528086802</v>
      </c>
      <c r="M26" s="19">
        <v>52.701270984318199</v>
      </c>
      <c r="N26" s="19">
        <v>53.694675170023302</v>
      </c>
      <c r="O26" s="19">
        <v>53.1722427068648</v>
      </c>
      <c r="P26" s="19">
        <v>55.127790766492801</v>
      </c>
      <c r="Q26" s="19">
        <v>52.040314489741</v>
      </c>
      <c r="R26" s="19">
        <v>53.778625954198503</v>
      </c>
      <c r="S26" s="19">
        <v>60.998540643186303</v>
      </c>
      <c r="T26" s="19">
        <v>70.6378170749703</v>
      </c>
      <c r="U26" s="19">
        <v>72.248659822427001</v>
      </c>
      <c r="V26" s="19">
        <v>71.597702405294498</v>
      </c>
      <c r="W26" s="19">
        <v>64.595492257015195</v>
      </c>
      <c r="X26" s="19">
        <v>43.291188484730597</v>
      </c>
    </row>
    <row r="27" spans="1:24" x14ac:dyDescent="0.2">
      <c r="A27" s="10" t="s">
        <v>684</v>
      </c>
      <c r="B27" s="10" t="s">
        <v>685</v>
      </c>
      <c r="C27" s="13">
        <v>25.284703443218099</v>
      </c>
      <c r="D27" s="13">
        <v>14.5448315442046</v>
      </c>
      <c r="E27" s="13">
        <v>10.6460571441675</v>
      </c>
      <c r="F27" s="13">
        <v>10.323328742691</v>
      </c>
      <c r="G27" s="13">
        <v>19.1027156023288</v>
      </c>
      <c r="H27" s="13">
        <v>26.784072598727199</v>
      </c>
      <c r="I27" s="13">
        <v>31.557967048738799</v>
      </c>
      <c r="J27" s="13">
        <v>29.819174464994099</v>
      </c>
      <c r="K27" s="13">
        <v>30.3077700328076</v>
      </c>
      <c r="L27" s="13">
        <v>29.837707911432801</v>
      </c>
      <c r="M27" s="13">
        <v>20.197959151476699</v>
      </c>
      <c r="N27" s="13">
        <v>18.221657721791001</v>
      </c>
      <c r="O27" s="13">
        <v>15.907575100314499</v>
      </c>
      <c r="P27" s="13">
        <v>16.457284850214698</v>
      </c>
      <c r="Q27" s="13">
        <v>15.239900066229101</v>
      </c>
      <c r="R27" s="13">
        <v>13.688914001060899</v>
      </c>
      <c r="S27" s="13">
        <v>13.467566438357499</v>
      </c>
      <c r="T27" s="13">
        <v>14.627240751222899</v>
      </c>
      <c r="U27" s="13">
        <v>11.8385280889865</v>
      </c>
      <c r="V27" s="13">
        <v>10.467947617338099</v>
      </c>
      <c r="W27" s="13">
        <v>7.9452728838347202</v>
      </c>
      <c r="X27" s="13">
        <v>7.1814822019062401</v>
      </c>
    </row>
    <row r="28" spans="1:24" x14ac:dyDescent="0.2">
      <c r="A28" s="10" t="s">
        <v>686</v>
      </c>
      <c r="B28" s="10" t="s">
        <v>687</v>
      </c>
      <c r="C28" s="13">
        <v>55.920699663616702</v>
      </c>
      <c r="D28" s="13">
        <v>31.800283214657401</v>
      </c>
      <c r="E28" s="13">
        <v>26.664140208581699</v>
      </c>
      <c r="F28" s="13">
        <v>22.777470131413899</v>
      </c>
      <c r="G28" s="13">
        <v>31.959982710592602</v>
      </c>
      <c r="H28" s="13">
        <v>42.394154039841503</v>
      </c>
      <c r="I28" s="13">
        <v>51.042665093503103</v>
      </c>
      <c r="J28" s="13">
        <v>43.799322327281097</v>
      </c>
      <c r="K28" s="13">
        <v>43.424574734076302</v>
      </c>
      <c r="L28" s="13">
        <v>42.799180204258398</v>
      </c>
      <c r="M28" s="13">
        <v>30.031654738175501</v>
      </c>
      <c r="N28" s="13">
        <v>29.9265589374454</v>
      </c>
      <c r="O28" s="13">
        <v>28.502060514044</v>
      </c>
      <c r="P28" s="13">
        <v>30.278583451211201</v>
      </c>
      <c r="Q28" s="13">
        <v>18.381387663031699</v>
      </c>
      <c r="R28" s="13">
        <v>18.7126680657734</v>
      </c>
      <c r="S28" s="13">
        <v>20.246843175576299</v>
      </c>
      <c r="T28" s="13">
        <v>24.661753661077501</v>
      </c>
      <c r="U28" s="13">
        <v>22.4698375566912</v>
      </c>
      <c r="V28" s="13">
        <v>21.934069021493102</v>
      </c>
      <c r="W28" s="13">
        <v>20.495332340117301</v>
      </c>
      <c r="X28" s="13">
        <v>19.265220774168402</v>
      </c>
    </row>
    <row r="29" spans="1:24" x14ac:dyDescent="0.2">
      <c r="A29" s="10" t="s">
        <v>688</v>
      </c>
      <c r="B29" s="10" t="s">
        <v>689</v>
      </c>
      <c r="C29" s="13">
        <v>30.635996220398699</v>
      </c>
      <c r="D29" s="13">
        <v>17.255450015697601</v>
      </c>
      <c r="E29" s="13">
        <v>16.018083064414199</v>
      </c>
      <c r="F29" s="13">
        <v>12.454141388722901</v>
      </c>
      <c r="G29" s="13">
        <v>12.8572671082638</v>
      </c>
      <c r="H29" s="13">
        <v>15.6100814411143</v>
      </c>
      <c r="I29" s="13">
        <v>19.484698044764301</v>
      </c>
      <c r="J29" s="13">
        <v>13.980147862287099</v>
      </c>
      <c r="K29" s="13">
        <v>13.1168047012687</v>
      </c>
      <c r="L29" s="13">
        <v>12.961472292825601</v>
      </c>
      <c r="M29" s="13">
        <v>9.8336955866988092</v>
      </c>
      <c r="N29" s="13">
        <v>11.704901215654401</v>
      </c>
      <c r="O29" s="13">
        <v>12.594485413729499</v>
      </c>
      <c r="P29" s="13">
        <v>13.821298600996499</v>
      </c>
      <c r="Q29" s="13">
        <v>3.1414875968026399</v>
      </c>
      <c r="R29" s="13">
        <v>5.0237540647125298</v>
      </c>
      <c r="S29" s="13">
        <v>6.7792767372187503</v>
      </c>
      <c r="T29" s="13">
        <v>10.0345129098546</v>
      </c>
      <c r="U29" s="13">
        <v>10.6313094677046</v>
      </c>
      <c r="V29" s="13">
        <v>11.466121404155</v>
      </c>
      <c r="W29" s="13">
        <v>12.550059456282501</v>
      </c>
      <c r="X29" s="13">
        <v>12.083738572262201</v>
      </c>
    </row>
    <row r="30" spans="1:24" x14ac:dyDescent="0.2">
      <c r="A30" s="10" t="s">
        <v>690</v>
      </c>
      <c r="B30" s="10" t="s">
        <v>691</v>
      </c>
      <c r="C30" s="13">
        <v>27.961531267929399</v>
      </c>
      <c r="D30" s="13">
        <v>2.4843512525618001</v>
      </c>
      <c r="E30" s="13">
        <v>47.884649384009698</v>
      </c>
      <c r="F30" s="13">
        <v>42.445891320361099</v>
      </c>
      <c r="G30" s="13">
        <v>48.757297986299598</v>
      </c>
      <c r="H30" s="13">
        <v>27.586150991280402</v>
      </c>
      <c r="I30" s="13">
        <v>18.760185528456098</v>
      </c>
      <c r="J30" s="13">
        <v>11.052771205379599</v>
      </c>
      <c r="K30" s="13">
        <v>6.4997859522028101</v>
      </c>
      <c r="L30" s="13">
        <v>2.4464792326174698</v>
      </c>
      <c r="M30" s="13">
        <v>3.8829050463483199</v>
      </c>
      <c r="N30" s="13">
        <v>3.9736858104900801</v>
      </c>
      <c r="O30" s="13">
        <v>2.7900986877778999</v>
      </c>
      <c r="P30" s="13">
        <v>1.26832353233351</v>
      </c>
      <c r="Q30" s="13">
        <v>0.43370207408476003</v>
      </c>
      <c r="R30" s="13">
        <v>0.26129471183782699</v>
      </c>
      <c r="S30" s="13">
        <v>0.15405421995695201</v>
      </c>
      <c r="T30" s="13">
        <v>0.65611970936033304</v>
      </c>
      <c r="U30" s="13">
        <v>0.43244324576635501</v>
      </c>
      <c r="V30" s="13">
        <v>4.9604320477000599</v>
      </c>
      <c r="W30" s="13">
        <v>8.7270888290529403</v>
      </c>
      <c r="X30" s="13">
        <v>5.7226220579653804</v>
      </c>
    </row>
    <row r="31" spans="1:24" x14ac:dyDescent="0.2">
      <c r="A31" s="10" t="s">
        <v>692</v>
      </c>
      <c r="B31" s="10" t="s">
        <v>693</v>
      </c>
      <c r="C31" s="13" t="s">
        <v>658</v>
      </c>
      <c r="D31" s="13" t="s">
        <v>658</v>
      </c>
      <c r="E31" s="13" t="s">
        <v>658</v>
      </c>
      <c r="F31" s="13" t="s">
        <v>658</v>
      </c>
      <c r="G31" s="13" t="s">
        <v>658</v>
      </c>
      <c r="H31" s="13" t="s">
        <v>658</v>
      </c>
      <c r="I31" s="13" t="s">
        <v>658</v>
      </c>
      <c r="J31" s="13" t="s">
        <v>658</v>
      </c>
      <c r="K31" s="13" t="s">
        <v>658</v>
      </c>
      <c r="L31" s="13" t="s">
        <v>658</v>
      </c>
      <c r="M31" s="13" t="s">
        <v>658</v>
      </c>
      <c r="N31" s="13" t="s">
        <v>658</v>
      </c>
      <c r="O31" s="13" t="s">
        <v>658</v>
      </c>
      <c r="P31" s="13">
        <v>1.26832353233351</v>
      </c>
      <c r="Q31" s="13">
        <v>0.43370207408476003</v>
      </c>
      <c r="R31" s="13">
        <v>0.26129471183782699</v>
      </c>
      <c r="S31" s="13">
        <v>0.15405421995695201</v>
      </c>
      <c r="T31" s="13">
        <v>0.65611970936033304</v>
      </c>
      <c r="U31" s="13">
        <v>0.43244324576635501</v>
      </c>
      <c r="V31" s="13">
        <v>4.9604320477000599</v>
      </c>
      <c r="W31" s="13">
        <v>8.7270888290529403</v>
      </c>
      <c r="X31" s="13">
        <v>5.7226220579653804</v>
      </c>
    </row>
    <row r="32" spans="1:24" x14ac:dyDescent="0.2">
      <c r="A32" s="10" t="s">
        <v>694</v>
      </c>
      <c r="B32" s="10" t="s">
        <v>695</v>
      </c>
      <c r="C32" s="13" t="s">
        <v>658</v>
      </c>
      <c r="D32" s="13" t="s">
        <v>658</v>
      </c>
      <c r="E32" s="13" t="s">
        <v>658</v>
      </c>
      <c r="F32" s="13" t="s">
        <v>658</v>
      </c>
      <c r="G32" s="13" t="s">
        <v>658</v>
      </c>
      <c r="H32" s="13" t="s">
        <v>658</v>
      </c>
      <c r="I32" s="13" t="s">
        <v>658</v>
      </c>
      <c r="J32" s="13" t="s">
        <v>658</v>
      </c>
      <c r="K32" s="13" t="s">
        <v>658</v>
      </c>
      <c r="L32" s="13" t="s">
        <v>658</v>
      </c>
      <c r="M32" s="13" t="s">
        <v>658</v>
      </c>
      <c r="N32" s="13" t="s">
        <v>658</v>
      </c>
      <c r="O32" s="13" t="s">
        <v>658</v>
      </c>
      <c r="P32" s="13" t="s">
        <v>658</v>
      </c>
      <c r="Q32" s="13" t="s">
        <v>658</v>
      </c>
      <c r="R32" s="13" t="s">
        <v>658</v>
      </c>
      <c r="S32" s="13" t="s">
        <v>658</v>
      </c>
      <c r="T32" s="13" t="s">
        <v>658</v>
      </c>
      <c r="U32" s="13" t="s">
        <v>658</v>
      </c>
      <c r="V32" s="13">
        <v>0</v>
      </c>
      <c r="W32" s="13" t="s">
        <v>658</v>
      </c>
      <c r="X32" s="13" t="s">
        <v>658</v>
      </c>
    </row>
    <row r="33" spans="1:24" x14ac:dyDescent="0.2">
      <c r="A33" s="10" t="s">
        <v>696</v>
      </c>
      <c r="B33" s="10" t="s">
        <v>697</v>
      </c>
      <c r="C33" s="13">
        <v>2.0945239333101799</v>
      </c>
      <c r="D33" s="13">
        <v>0.39409366293058601</v>
      </c>
      <c r="E33" s="13">
        <v>5.8699217070314598</v>
      </c>
      <c r="F33" s="13">
        <v>6.0822711680245698</v>
      </c>
      <c r="G33" s="13" t="s">
        <v>658</v>
      </c>
      <c r="H33" s="13" t="s">
        <v>658</v>
      </c>
      <c r="I33" s="13" t="s">
        <v>658</v>
      </c>
      <c r="J33" s="13">
        <v>3.2618587206985299</v>
      </c>
      <c r="K33" s="13">
        <v>17.667478706221001</v>
      </c>
      <c r="L33" s="13">
        <v>16.442130327862898</v>
      </c>
      <c r="M33" s="13">
        <v>23.2178648178568</v>
      </c>
      <c r="N33" s="13">
        <v>24.109981297695601</v>
      </c>
      <c r="O33" s="13">
        <v>28.130083505042801</v>
      </c>
      <c r="P33" s="13">
        <v>27.146600850959</v>
      </c>
      <c r="Q33" s="13">
        <v>32.286083369945104</v>
      </c>
      <c r="R33" s="13">
        <v>32.271165332902797</v>
      </c>
      <c r="S33" s="13">
        <v>25.379838698499299</v>
      </c>
      <c r="T33" s="13">
        <v>14.0788224644464</v>
      </c>
      <c r="U33" s="13">
        <v>15.4803688428201</v>
      </c>
      <c r="V33" s="13">
        <v>12.973917929667399</v>
      </c>
      <c r="W33" s="13">
        <v>18.732146030097201</v>
      </c>
      <c r="X33" s="13">
        <v>43.804707255397801</v>
      </c>
    </row>
    <row r="34" spans="1:24" x14ac:dyDescent="0.2">
      <c r="A34" s="10" t="s">
        <v>698</v>
      </c>
      <c r="B34" s="10" t="s">
        <v>699</v>
      </c>
      <c r="C34" s="13">
        <v>2.0720239189646601</v>
      </c>
      <c r="D34" s="13">
        <v>0</v>
      </c>
      <c r="E34" s="13">
        <v>5.3896700027911901</v>
      </c>
      <c r="F34" s="13">
        <v>5.8368482420298404</v>
      </c>
      <c r="G34" s="13">
        <v>0</v>
      </c>
      <c r="H34" s="13">
        <v>0</v>
      </c>
      <c r="I34" s="13" t="s">
        <v>658</v>
      </c>
      <c r="J34" s="13">
        <v>2.00732886618631</v>
      </c>
      <c r="K34" s="13">
        <v>12.540514395842299</v>
      </c>
      <c r="L34" s="13">
        <v>11.972887416302401</v>
      </c>
      <c r="M34" s="13">
        <v>19.4005835749096</v>
      </c>
      <c r="N34" s="13">
        <v>18.621424790757899</v>
      </c>
      <c r="O34" s="13">
        <v>18.978418826591501</v>
      </c>
      <c r="P34" s="13">
        <v>22.985268418674099</v>
      </c>
      <c r="Q34" s="13">
        <v>26.097009199939698</v>
      </c>
      <c r="R34" s="13">
        <v>27.053112243721301</v>
      </c>
      <c r="S34" s="13">
        <v>20.957809341071702</v>
      </c>
      <c r="T34" s="13">
        <v>8.8775485482332801</v>
      </c>
      <c r="U34" s="13">
        <v>7.3131478426047201</v>
      </c>
      <c r="V34" s="13">
        <v>6.55251533550814</v>
      </c>
      <c r="W34" s="13">
        <v>7.0124243128357202</v>
      </c>
      <c r="X34" s="13">
        <v>33.618945730402601</v>
      </c>
    </row>
    <row r="35" spans="1:24" x14ac:dyDescent="0.2">
      <c r="A35" s="11" t="s">
        <v>700</v>
      </c>
      <c r="B35" s="11" t="s">
        <v>701</v>
      </c>
      <c r="C35" s="25" t="s">
        <v>658</v>
      </c>
      <c r="D35" s="25" t="s">
        <v>658</v>
      </c>
      <c r="E35" s="25" t="s">
        <v>658</v>
      </c>
      <c r="F35" s="25" t="s">
        <v>658</v>
      </c>
      <c r="G35" s="25" t="s">
        <v>658</v>
      </c>
      <c r="H35" s="25" t="s">
        <v>658</v>
      </c>
      <c r="I35" s="25" t="s">
        <v>658</v>
      </c>
      <c r="J35" s="25">
        <v>0</v>
      </c>
      <c r="K35" s="25">
        <v>11.6626126853896</v>
      </c>
      <c r="L35" s="25">
        <v>11.2043705381008</v>
      </c>
      <c r="M35" s="25">
        <v>16.417739295603599</v>
      </c>
      <c r="N35" s="25">
        <v>15.904421117852801</v>
      </c>
      <c r="O35" s="25">
        <v>14.801811083396601</v>
      </c>
      <c r="P35" s="25">
        <v>19.5782142172562</v>
      </c>
      <c r="Q35" s="25">
        <v>22.981750939338099</v>
      </c>
      <c r="R35" s="25">
        <v>24.494937847374398</v>
      </c>
      <c r="S35" s="25">
        <v>19.285687412502899</v>
      </c>
      <c r="T35" s="25">
        <v>7.9784949552125104</v>
      </c>
      <c r="U35" s="25">
        <v>6.6022612483453296</v>
      </c>
      <c r="V35" s="25">
        <v>6.0998642046607499</v>
      </c>
      <c r="W35" s="25">
        <v>6.6420185066222004</v>
      </c>
      <c r="X35" s="25">
        <v>29.515172145497001</v>
      </c>
    </row>
    <row r="36" spans="1:24" x14ac:dyDescent="0.2">
      <c r="A36" s="11" t="s">
        <v>702</v>
      </c>
      <c r="B36" s="11" t="s">
        <v>703</v>
      </c>
      <c r="C36" s="25" t="s">
        <v>658</v>
      </c>
      <c r="D36" s="25" t="s">
        <v>658</v>
      </c>
      <c r="E36" s="25" t="s">
        <v>658</v>
      </c>
      <c r="F36" s="25" t="s">
        <v>658</v>
      </c>
      <c r="G36" s="25" t="s">
        <v>658</v>
      </c>
      <c r="H36" s="25" t="s">
        <v>658</v>
      </c>
      <c r="I36" s="25" t="s">
        <v>658</v>
      </c>
      <c r="J36" s="25">
        <v>2.00732886618631</v>
      </c>
      <c r="K36" s="25">
        <v>0.87790171045274201</v>
      </c>
      <c r="L36" s="25">
        <v>0.76851687820158598</v>
      </c>
      <c r="M36" s="25">
        <v>2.98284427930597</v>
      </c>
      <c r="N36" s="25">
        <v>2.7170036729051898</v>
      </c>
      <c r="O36" s="25">
        <v>4.1766077431948796</v>
      </c>
      <c r="P36" s="25">
        <v>3.4070542014178899</v>
      </c>
      <c r="Q36" s="25">
        <v>3.11525826060157</v>
      </c>
      <c r="R36" s="25">
        <v>2.5581743963469501</v>
      </c>
      <c r="S36" s="25">
        <v>1.6721219285687401</v>
      </c>
      <c r="T36" s="25">
        <v>0.89905359302077203</v>
      </c>
      <c r="U36" s="25">
        <v>0.71088659425938105</v>
      </c>
      <c r="V36" s="25">
        <v>0.452651130847394</v>
      </c>
      <c r="W36" s="25">
        <v>0.37040580621352298</v>
      </c>
      <c r="X36" s="25">
        <v>4.1037735849056602</v>
      </c>
    </row>
    <row r="37" spans="1:24" x14ac:dyDescent="0.2">
      <c r="A37" s="10" t="s">
        <v>704</v>
      </c>
      <c r="B37" s="10" t="s">
        <v>705</v>
      </c>
      <c r="C37" s="13" t="s">
        <v>658</v>
      </c>
      <c r="D37" s="13" t="s">
        <v>658</v>
      </c>
      <c r="E37" s="13" t="s">
        <v>658</v>
      </c>
      <c r="F37" s="13" t="s">
        <v>658</v>
      </c>
      <c r="G37" s="13" t="s">
        <v>658</v>
      </c>
      <c r="H37" s="13" t="s">
        <v>658</v>
      </c>
      <c r="I37" s="13" t="s">
        <v>658</v>
      </c>
      <c r="J37" s="13" t="s">
        <v>658</v>
      </c>
      <c r="K37" s="13" t="s">
        <v>658</v>
      </c>
      <c r="L37" s="13" t="s">
        <v>658</v>
      </c>
      <c r="M37" s="13" t="s">
        <v>658</v>
      </c>
      <c r="N37" s="13" t="s">
        <v>658</v>
      </c>
      <c r="O37" s="13" t="s">
        <v>658</v>
      </c>
      <c r="P37" s="13" t="s">
        <v>658</v>
      </c>
      <c r="Q37" s="13">
        <v>3.7114510724519802E-2</v>
      </c>
      <c r="R37" s="13">
        <v>8.9942575125112403E-3</v>
      </c>
      <c r="S37" s="13">
        <v>3.9107594397812397E-2</v>
      </c>
      <c r="T37" s="13">
        <v>6.8827596231992E-2</v>
      </c>
      <c r="U37" s="13">
        <v>0.13967222982659899</v>
      </c>
      <c r="V37" s="13">
        <v>6.1654205753352002E-2</v>
      </c>
      <c r="W37" s="13">
        <v>0.44011317195850402</v>
      </c>
      <c r="X37" s="13">
        <v>0.87531608636452096</v>
      </c>
    </row>
    <row r="38" spans="1:24" x14ac:dyDescent="0.2">
      <c r="A38" s="10" t="s">
        <v>706</v>
      </c>
      <c r="B38" s="10" t="s">
        <v>707</v>
      </c>
      <c r="C38" s="13" t="s">
        <v>658</v>
      </c>
      <c r="D38" s="13" t="s">
        <v>658</v>
      </c>
      <c r="E38" s="13" t="s">
        <v>658</v>
      </c>
      <c r="F38" s="13" t="s">
        <v>658</v>
      </c>
      <c r="G38" s="13" t="s">
        <v>658</v>
      </c>
      <c r="H38" s="13" t="s">
        <v>658</v>
      </c>
      <c r="I38" s="13" t="s">
        <v>658</v>
      </c>
      <c r="J38" s="13" t="s">
        <v>658</v>
      </c>
      <c r="K38" s="13">
        <v>6.4357738911595699E-2</v>
      </c>
      <c r="L38" s="13">
        <v>6.2436939088672899E-2</v>
      </c>
      <c r="M38" s="13">
        <v>0.77853802223429003</v>
      </c>
      <c r="N38" s="13">
        <v>0.95382487225258195</v>
      </c>
      <c r="O38" s="13" t="s">
        <v>658</v>
      </c>
      <c r="P38" s="13" t="s">
        <v>658</v>
      </c>
      <c r="Q38" s="13">
        <v>1.83526665398915</v>
      </c>
      <c r="R38" s="13">
        <v>0.28723968543160899</v>
      </c>
      <c r="S38" s="13">
        <v>0.49810204408960501</v>
      </c>
      <c r="T38" s="13">
        <v>1.6945904813086301</v>
      </c>
      <c r="U38" s="13">
        <v>1.51999430497747</v>
      </c>
      <c r="V38" s="13">
        <v>1.08792358000219</v>
      </c>
      <c r="W38" s="13">
        <v>0.85562374424230803</v>
      </c>
      <c r="X38" s="13">
        <v>0.27766971406341201</v>
      </c>
    </row>
    <row r="39" spans="1:24" x14ac:dyDescent="0.2">
      <c r="A39" s="10" t="s">
        <v>708</v>
      </c>
      <c r="B39" s="10" t="s">
        <v>709</v>
      </c>
      <c r="C39" s="13" t="s">
        <v>658</v>
      </c>
      <c r="D39" s="13" t="s">
        <v>658</v>
      </c>
      <c r="E39" s="13">
        <v>0</v>
      </c>
      <c r="F39" s="13" t="s">
        <v>658</v>
      </c>
      <c r="G39" s="13" t="s">
        <v>658</v>
      </c>
      <c r="H39" s="13" t="s">
        <v>658</v>
      </c>
      <c r="I39" s="13" t="s">
        <v>658</v>
      </c>
      <c r="J39" s="13" t="s">
        <v>658</v>
      </c>
      <c r="K39" s="13" t="s">
        <v>658</v>
      </c>
      <c r="L39" s="13" t="s">
        <v>658</v>
      </c>
      <c r="M39" s="13">
        <v>0</v>
      </c>
      <c r="N39" s="13">
        <v>0</v>
      </c>
      <c r="O39" s="13">
        <v>4.2362542023641696</v>
      </c>
      <c r="P39" s="13">
        <v>0.45486153376902699</v>
      </c>
      <c r="Q39" s="13">
        <v>1.07894374463118</v>
      </c>
      <c r="R39" s="13">
        <v>1.05221281797007</v>
      </c>
      <c r="S39" s="13">
        <v>0.91660280743024503</v>
      </c>
      <c r="T39" s="13">
        <v>0.51141657104219296</v>
      </c>
      <c r="U39" s="13">
        <v>3.9903004394719099</v>
      </c>
      <c r="V39" s="13">
        <v>3.3956639143396798</v>
      </c>
      <c r="W39" s="13">
        <v>6.2545275617456904</v>
      </c>
      <c r="X39" s="13">
        <v>4.8696751604746202</v>
      </c>
    </row>
    <row r="40" spans="1:24" x14ac:dyDescent="0.2">
      <c r="A40" s="10" t="s">
        <v>710</v>
      </c>
      <c r="B40" s="10" t="s">
        <v>711</v>
      </c>
      <c r="C40" s="13">
        <v>2.25000143455189E-2</v>
      </c>
      <c r="D40" s="13">
        <v>0.39409366293058601</v>
      </c>
      <c r="E40" s="13">
        <v>0.48025170424027203</v>
      </c>
      <c r="F40" s="13">
        <v>0.245422925994736</v>
      </c>
      <c r="G40" s="13" t="s">
        <v>658</v>
      </c>
      <c r="H40" s="13" t="s">
        <v>658</v>
      </c>
      <c r="I40" s="13" t="s">
        <v>658</v>
      </c>
      <c r="J40" s="13">
        <v>1.2545298545122101</v>
      </c>
      <c r="K40" s="13">
        <v>5.0626065714670796</v>
      </c>
      <c r="L40" s="13">
        <v>4.4068059724718998</v>
      </c>
      <c r="M40" s="13">
        <v>3.0387432207129601</v>
      </c>
      <c r="N40" s="13">
        <v>4.5347316346850901</v>
      </c>
      <c r="O40" s="13">
        <v>4.9154104760871897</v>
      </c>
      <c r="P40" s="13">
        <v>3.70647089851593</v>
      </c>
      <c r="Q40" s="13">
        <v>3.23774926066059</v>
      </c>
      <c r="R40" s="13">
        <v>3.8696063282673401</v>
      </c>
      <c r="S40" s="13">
        <v>2.9682169115099102</v>
      </c>
      <c r="T40" s="13">
        <v>2.9264392676303301</v>
      </c>
      <c r="U40" s="13">
        <v>2.5172540259393901</v>
      </c>
      <c r="V40" s="13">
        <v>1.87616089406403</v>
      </c>
      <c r="W40" s="13">
        <v>4.1694572393149496</v>
      </c>
      <c r="X40" s="13">
        <v>4.1631005640925904</v>
      </c>
    </row>
    <row r="41" spans="1:24" x14ac:dyDescent="0.2">
      <c r="A41" s="6" t="s">
        <v>712</v>
      </c>
      <c r="B41" s="6" t="s">
        <v>713</v>
      </c>
      <c r="C41" s="19">
        <v>55.340758538684298</v>
      </c>
      <c r="D41" s="19">
        <v>17.423276459697</v>
      </c>
      <c r="E41" s="19">
        <v>64.4006282352087</v>
      </c>
      <c r="F41" s="19">
        <v>58.8514912310767</v>
      </c>
      <c r="G41" s="19">
        <v>67.860013588628306</v>
      </c>
      <c r="H41" s="19">
        <v>54.370223590007598</v>
      </c>
      <c r="I41" s="19">
        <v>50.318152577194802</v>
      </c>
      <c r="J41" s="19">
        <v>44.133804391072204</v>
      </c>
      <c r="K41" s="19">
        <v>54.4750346912314</v>
      </c>
      <c r="L41" s="19">
        <v>48.726317471913198</v>
      </c>
      <c r="M41" s="19">
        <v>47.298729015681801</v>
      </c>
      <c r="N41" s="19">
        <v>46.305324829976698</v>
      </c>
      <c r="O41" s="19">
        <v>46.8277572931352</v>
      </c>
      <c r="P41" s="19">
        <v>44.872209233507199</v>
      </c>
      <c r="Q41" s="19">
        <v>47.959685510259</v>
      </c>
      <c r="R41" s="19">
        <v>46.221374045801497</v>
      </c>
      <c r="S41" s="19">
        <v>39.001459356813697</v>
      </c>
      <c r="T41" s="19">
        <v>29.3621829250297</v>
      </c>
      <c r="U41" s="19">
        <v>27.751340177572999</v>
      </c>
      <c r="V41" s="19">
        <v>28.402297594705502</v>
      </c>
      <c r="W41" s="19">
        <v>35.404507742984798</v>
      </c>
      <c r="X41" s="19">
        <v>56.708811515269403</v>
      </c>
    </row>
    <row r="42" spans="1:24" x14ac:dyDescent="0.2">
      <c r="A42" s="6" t="s">
        <v>317</v>
      </c>
      <c r="B42" s="6" t="s">
        <v>645</v>
      </c>
      <c r="C42" s="19">
        <v>100</v>
      </c>
      <c r="D42" s="19">
        <v>100</v>
      </c>
      <c r="E42" s="19">
        <v>100</v>
      </c>
      <c r="F42" s="19">
        <v>100</v>
      </c>
      <c r="G42" s="19">
        <v>100</v>
      </c>
      <c r="H42" s="19">
        <v>100</v>
      </c>
      <c r="I42" s="19">
        <v>100</v>
      </c>
      <c r="J42" s="19">
        <v>100</v>
      </c>
      <c r="K42" s="19">
        <v>100</v>
      </c>
      <c r="L42" s="19">
        <v>100</v>
      </c>
      <c r="M42" s="19">
        <v>100</v>
      </c>
      <c r="N42" s="19">
        <v>100</v>
      </c>
      <c r="O42" s="19">
        <v>100</v>
      </c>
      <c r="P42" s="19">
        <v>100</v>
      </c>
      <c r="Q42" s="19">
        <v>100</v>
      </c>
      <c r="R42" s="19">
        <v>100</v>
      </c>
      <c r="S42" s="19">
        <v>100</v>
      </c>
      <c r="T42" s="19">
        <v>100</v>
      </c>
      <c r="U42" s="19">
        <v>100</v>
      </c>
      <c r="V42" s="19">
        <v>100</v>
      </c>
      <c r="W42" s="19">
        <v>100</v>
      </c>
      <c r="X42" s="19">
        <v>100</v>
      </c>
    </row>
    <row r="43" spans="1:24" x14ac:dyDescent="0.2">
      <c r="A43" s="6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1:24" x14ac:dyDescent="0.2">
      <c r="A44" s="6" t="s">
        <v>714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4" x14ac:dyDescent="0.2">
      <c r="A45" s="10" t="s">
        <v>715</v>
      </c>
      <c r="B45" s="10" t="s">
        <v>716</v>
      </c>
      <c r="C45" s="13">
        <v>4.2230219691111497</v>
      </c>
      <c r="D45" s="13">
        <v>2.1014068495748499</v>
      </c>
      <c r="E45" s="13">
        <v>3.3399990761898102</v>
      </c>
      <c r="F45" s="13">
        <v>1.6414488049234199</v>
      </c>
      <c r="G45" s="13">
        <v>1.8864679601862</v>
      </c>
      <c r="H45" s="13">
        <v>2.5302477435860999</v>
      </c>
      <c r="I45" s="13">
        <v>2.1598937852726401</v>
      </c>
      <c r="J45" s="13">
        <v>1.87496978899955</v>
      </c>
      <c r="K45" s="13">
        <v>7.1468317377136703</v>
      </c>
      <c r="L45" s="13">
        <v>10.8713121262376</v>
      </c>
      <c r="M45" s="13">
        <v>10.194981476220301</v>
      </c>
      <c r="N45" s="13">
        <v>7.8430793904579303</v>
      </c>
      <c r="O45" s="13">
        <v>7.1991920615985299</v>
      </c>
      <c r="P45" s="13">
        <v>9.2880738411944197</v>
      </c>
      <c r="Q45" s="13">
        <v>10.7617654966197</v>
      </c>
      <c r="R45" s="13">
        <v>10.7362606950947</v>
      </c>
      <c r="S45" s="13">
        <v>11.166554789244699</v>
      </c>
      <c r="T45" s="13">
        <v>11.907284272288599</v>
      </c>
      <c r="U45" s="13">
        <v>9.5393429638086698</v>
      </c>
      <c r="V45" s="13">
        <v>9.4799194593160294</v>
      </c>
      <c r="W45" s="13">
        <v>8.5412025203996507</v>
      </c>
      <c r="X45" s="13">
        <v>6.9573040264539996</v>
      </c>
    </row>
    <row r="46" spans="1:24" x14ac:dyDescent="0.2">
      <c r="A46" s="10" t="s">
        <v>717</v>
      </c>
      <c r="B46" s="10" t="s">
        <v>718</v>
      </c>
      <c r="C46" s="13">
        <v>4.2230219691111497</v>
      </c>
      <c r="D46" s="13">
        <v>2.1014068495748499</v>
      </c>
      <c r="E46" s="13">
        <v>3.3399990761898102</v>
      </c>
      <c r="F46" s="13">
        <v>1.6414488049234199</v>
      </c>
      <c r="G46" s="13">
        <v>1.8864679601862</v>
      </c>
      <c r="H46" s="13">
        <v>2.5302477435860999</v>
      </c>
      <c r="I46" s="13">
        <v>2.1598937852726401</v>
      </c>
      <c r="J46" s="13">
        <v>1.87496978899955</v>
      </c>
      <c r="K46" s="13">
        <v>7.1468317377136703</v>
      </c>
      <c r="L46" s="13">
        <v>10.8713121262376</v>
      </c>
      <c r="M46" s="13">
        <v>10.194981476220301</v>
      </c>
      <c r="N46" s="13">
        <v>7.8430793904579303</v>
      </c>
      <c r="O46" s="13">
        <v>7.1991920615985299</v>
      </c>
      <c r="P46" s="13">
        <v>8.6882610465872805</v>
      </c>
      <c r="Q46" s="13">
        <v>9.1506285204687199</v>
      </c>
      <c r="R46" s="13">
        <v>8.5591891330919498</v>
      </c>
      <c r="S46" s="13">
        <v>8.8838593552296299</v>
      </c>
      <c r="T46" s="13">
        <v>9.8604066224261206</v>
      </c>
      <c r="U46" s="13">
        <v>9.0020103789983406</v>
      </c>
      <c r="V46" s="13">
        <v>8.8532317729876606</v>
      </c>
      <c r="W46" s="13">
        <v>6.8750597979853199</v>
      </c>
      <c r="X46" s="13">
        <v>6.7321532775724604</v>
      </c>
    </row>
    <row r="47" spans="1:24" x14ac:dyDescent="0.2">
      <c r="A47" s="10" t="s">
        <v>719</v>
      </c>
      <c r="B47" s="10" t="s">
        <v>720</v>
      </c>
      <c r="C47" s="13" t="s">
        <v>658</v>
      </c>
      <c r="D47" s="13" t="s">
        <v>658</v>
      </c>
      <c r="E47" s="13" t="s">
        <v>658</v>
      </c>
      <c r="F47" s="13" t="s">
        <v>658</v>
      </c>
      <c r="G47" s="13" t="s">
        <v>658</v>
      </c>
      <c r="H47" s="13" t="s">
        <v>658</v>
      </c>
      <c r="I47" s="13" t="s">
        <v>658</v>
      </c>
      <c r="J47" s="13" t="s">
        <v>658</v>
      </c>
      <c r="K47" s="13" t="s">
        <v>658</v>
      </c>
      <c r="L47" s="13" t="s">
        <v>658</v>
      </c>
      <c r="M47" s="13" t="s">
        <v>658</v>
      </c>
      <c r="N47" s="13" t="s">
        <v>658</v>
      </c>
      <c r="O47" s="13" t="s">
        <v>658</v>
      </c>
      <c r="P47" s="13" t="s">
        <v>658</v>
      </c>
      <c r="Q47" s="13">
        <v>1.45848223946072</v>
      </c>
      <c r="R47" s="13">
        <v>1.6424897949770501</v>
      </c>
      <c r="S47" s="13">
        <v>1.97092375108165</v>
      </c>
      <c r="T47" s="13">
        <v>1.5937167562710199</v>
      </c>
      <c r="U47" s="13">
        <v>9.2093560569538296E-2</v>
      </c>
      <c r="V47" s="13">
        <v>0.61107902664398195</v>
      </c>
      <c r="W47" s="13">
        <v>0.66085316348427503</v>
      </c>
      <c r="X47" s="13">
        <v>0.13713285353044199</v>
      </c>
    </row>
    <row r="48" spans="1:24" x14ac:dyDescent="0.2">
      <c r="A48" s="10" t="s">
        <v>721</v>
      </c>
      <c r="B48" s="10" t="s">
        <v>722</v>
      </c>
      <c r="C48" s="13" t="s">
        <v>658</v>
      </c>
      <c r="D48" s="13" t="s">
        <v>658</v>
      </c>
      <c r="E48" s="13" t="s">
        <v>658</v>
      </c>
      <c r="F48" s="13" t="s">
        <v>658</v>
      </c>
      <c r="G48" s="13" t="s">
        <v>658</v>
      </c>
      <c r="H48" s="13" t="s">
        <v>658</v>
      </c>
      <c r="I48" s="13" t="s">
        <v>658</v>
      </c>
      <c r="J48" s="13" t="s">
        <v>658</v>
      </c>
      <c r="K48" s="13" t="s">
        <v>658</v>
      </c>
      <c r="L48" s="13" t="s">
        <v>658</v>
      </c>
      <c r="M48" s="13" t="s">
        <v>658</v>
      </c>
      <c r="N48" s="13" t="s">
        <v>658</v>
      </c>
      <c r="O48" s="13" t="s">
        <v>658</v>
      </c>
      <c r="P48" s="13">
        <v>0.17167490062583701</v>
      </c>
      <c r="Q48" s="13" t="s">
        <v>658</v>
      </c>
      <c r="R48" s="13" t="s">
        <v>658</v>
      </c>
      <c r="S48" s="13" t="s">
        <v>658</v>
      </c>
      <c r="T48" s="13" t="s">
        <v>658</v>
      </c>
      <c r="U48" s="13">
        <v>2.88355571254914E-2</v>
      </c>
      <c r="V48" s="13">
        <v>1.56086596843929E-2</v>
      </c>
      <c r="W48" s="13">
        <v>1.0052895589300599</v>
      </c>
      <c r="X48" s="13">
        <v>8.8017895351098996E-2</v>
      </c>
    </row>
    <row r="49" spans="1:24" x14ac:dyDescent="0.2">
      <c r="A49" s="10" t="s">
        <v>723</v>
      </c>
      <c r="B49" s="10" t="s">
        <v>724</v>
      </c>
      <c r="C49" s="13" t="s">
        <v>658</v>
      </c>
      <c r="D49" s="13" t="s">
        <v>658</v>
      </c>
      <c r="E49" s="13" t="s">
        <v>658</v>
      </c>
      <c r="F49" s="13" t="s">
        <v>658</v>
      </c>
      <c r="G49" s="13" t="s">
        <v>658</v>
      </c>
      <c r="H49" s="13" t="s">
        <v>658</v>
      </c>
      <c r="I49" s="13" t="s">
        <v>658</v>
      </c>
      <c r="J49" s="13" t="s">
        <v>658</v>
      </c>
      <c r="K49" s="13" t="s">
        <v>658</v>
      </c>
      <c r="L49" s="13" t="s">
        <v>658</v>
      </c>
      <c r="M49" s="13" t="s">
        <v>658</v>
      </c>
      <c r="N49" s="13" t="s">
        <v>658</v>
      </c>
      <c r="O49" s="13" t="s">
        <v>658</v>
      </c>
      <c r="P49" s="13">
        <v>0.42813789398130497</v>
      </c>
      <c r="Q49" s="13">
        <v>0.15265473669025101</v>
      </c>
      <c r="R49" s="13">
        <v>0.53458176702566795</v>
      </c>
      <c r="S49" s="13">
        <v>0.31177168293344598</v>
      </c>
      <c r="T49" s="13">
        <v>0.45316089359143502</v>
      </c>
      <c r="U49" s="13">
        <v>0.41640346711530002</v>
      </c>
      <c r="V49" s="13" t="s">
        <v>658</v>
      </c>
      <c r="W49" s="13" t="s">
        <v>658</v>
      </c>
      <c r="X49" s="13" t="s">
        <v>658</v>
      </c>
    </row>
    <row r="50" spans="1:24" x14ac:dyDescent="0.2">
      <c r="A50" s="10" t="s">
        <v>725</v>
      </c>
      <c r="B50" s="10" t="s">
        <v>726</v>
      </c>
      <c r="C50" s="13">
        <v>4.88567377676421</v>
      </c>
      <c r="D50" s="13">
        <v>0</v>
      </c>
      <c r="E50" s="13">
        <v>0</v>
      </c>
      <c r="F50" s="13">
        <v>0</v>
      </c>
      <c r="G50" s="13">
        <v>0</v>
      </c>
      <c r="H50" s="13">
        <v>2.89887919396734</v>
      </c>
      <c r="I50" s="13">
        <v>1.3715432067915301</v>
      </c>
      <c r="J50" s="13">
        <v>3.3287404254316302</v>
      </c>
      <c r="K50" s="13">
        <v>11.999216331355401</v>
      </c>
      <c r="L50" s="13">
        <v>8.9153819727483796</v>
      </c>
      <c r="M50" s="13">
        <v>6.0322561850277996</v>
      </c>
      <c r="N50" s="13">
        <v>7.9071304392088502</v>
      </c>
      <c r="O50" s="13">
        <v>7.5191139789610704</v>
      </c>
      <c r="P50" s="13">
        <v>2.9257488565500198</v>
      </c>
      <c r="Q50" s="13">
        <v>8.6287958767483506</v>
      </c>
      <c r="R50" s="13">
        <v>4.1372431447614204</v>
      </c>
      <c r="S50" s="13">
        <v>10.6308302492787</v>
      </c>
      <c r="T50" s="13">
        <v>1.05366790519632</v>
      </c>
      <c r="U50" s="13">
        <v>5.0964143885825601</v>
      </c>
      <c r="V50" s="13">
        <v>0.657124572712941</v>
      </c>
      <c r="W50" s="13">
        <v>0.67793830214726003</v>
      </c>
      <c r="X50" s="13">
        <v>1.8002334176230299</v>
      </c>
    </row>
    <row r="51" spans="1:24" x14ac:dyDescent="0.2">
      <c r="A51" s="10" t="s">
        <v>727</v>
      </c>
      <c r="B51" s="10" t="s">
        <v>728</v>
      </c>
      <c r="C51" s="13" t="s">
        <v>658</v>
      </c>
      <c r="D51" s="13" t="s">
        <v>658</v>
      </c>
      <c r="E51" s="13" t="s">
        <v>658</v>
      </c>
      <c r="F51" s="13" t="s">
        <v>658</v>
      </c>
      <c r="G51" s="13" t="s">
        <v>658</v>
      </c>
      <c r="H51" s="13" t="s">
        <v>658</v>
      </c>
      <c r="I51" s="13" t="s">
        <v>658</v>
      </c>
      <c r="J51" s="13">
        <v>3.3287404254316302</v>
      </c>
      <c r="K51" s="13" t="s">
        <v>658</v>
      </c>
      <c r="L51" s="13" t="s">
        <v>658</v>
      </c>
      <c r="M51" s="13">
        <v>6.0322561850277996</v>
      </c>
      <c r="N51" s="13">
        <v>7.9071304392088502</v>
      </c>
      <c r="O51" s="13">
        <v>7.5191139789610704</v>
      </c>
      <c r="P51" s="13">
        <v>2.9257488565500198</v>
      </c>
      <c r="Q51" s="13">
        <v>8.6287958767483506</v>
      </c>
      <c r="R51" s="13">
        <v>4.1372431447614204</v>
      </c>
      <c r="S51" s="13">
        <v>9.5505695847862508</v>
      </c>
      <c r="T51" s="13">
        <v>0</v>
      </c>
      <c r="U51" s="13">
        <v>4.3253335688237202</v>
      </c>
      <c r="V51" s="13">
        <v>0</v>
      </c>
      <c r="W51" s="13" t="s">
        <v>658</v>
      </c>
      <c r="X51" s="13">
        <v>1.02849640147831</v>
      </c>
    </row>
    <row r="52" spans="1:24" x14ac:dyDescent="0.2">
      <c r="A52" s="10" t="s">
        <v>729</v>
      </c>
      <c r="B52" s="10" t="s">
        <v>730</v>
      </c>
      <c r="C52" s="13" t="s">
        <v>658</v>
      </c>
      <c r="D52" s="13" t="s">
        <v>658</v>
      </c>
      <c r="E52" s="13" t="s">
        <v>658</v>
      </c>
      <c r="F52" s="13" t="s">
        <v>658</v>
      </c>
      <c r="G52" s="13" t="s">
        <v>658</v>
      </c>
      <c r="H52" s="13" t="s">
        <v>658</v>
      </c>
      <c r="I52" s="13" t="s">
        <v>658</v>
      </c>
      <c r="J52" s="13">
        <v>0</v>
      </c>
      <c r="K52" s="13" t="s">
        <v>658</v>
      </c>
      <c r="L52" s="13" t="s">
        <v>658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1.0802606644924799</v>
      </c>
      <c r="T52" s="13">
        <v>1.05366790519632</v>
      </c>
      <c r="U52" s="13">
        <v>0.77108081975884502</v>
      </c>
      <c r="V52" s="13">
        <v>0.657124572712941</v>
      </c>
      <c r="W52" s="13">
        <v>0.67793830214726003</v>
      </c>
      <c r="X52" s="13">
        <v>0.77173701614471901</v>
      </c>
    </row>
    <row r="53" spans="1:24" x14ac:dyDescent="0.2">
      <c r="A53" s="11" t="s">
        <v>731</v>
      </c>
      <c r="B53" s="11" t="s">
        <v>732</v>
      </c>
      <c r="C53" s="25" t="s">
        <v>658</v>
      </c>
      <c r="D53" s="25" t="s">
        <v>658</v>
      </c>
      <c r="E53" s="25" t="s">
        <v>658</v>
      </c>
      <c r="F53" s="25" t="s">
        <v>658</v>
      </c>
      <c r="G53" s="25" t="s">
        <v>658</v>
      </c>
      <c r="H53" s="25" t="s">
        <v>658</v>
      </c>
      <c r="I53" s="25" t="s">
        <v>658</v>
      </c>
      <c r="J53" s="25">
        <v>0</v>
      </c>
      <c r="K53" s="25" t="s">
        <v>658</v>
      </c>
      <c r="L53" s="25" t="s">
        <v>658</v>
      </c>
      <c r="M53" s="25">
        <v>0</v>
      </c>
      <c r="N53" s="25">
        <v>0</v>
      </c>
      <c r="O53" s="25">
        <v>0</v>
      </c>
      <c r="P53" s="25">
        <v>0</v>
      </c>
      <c r="Q53" s="25">
        <v>0</v>
      </c>
      <c r="R53" s="25">
        <v>0</v>
      </c>
      <c r="S53" s="25" t="s">
        <v>658</v>
      </c>
      <c r="T53" s="25" t="s">
        <v>658</v>
      </c>
      <c r="U53" s="25" t="s">
        <v>658</v>
      </c>
      <c r="V53" s="25" t="s">
        <v>658</v>
      </c>
      <c r="W53" s="25" t="s">
        <v>658</v>
      </c>
      <c r="X53" s="25" t="s">
        <v>658</v>
      </c>
    </row>
    <row r="54" spans="1:24" x14ac:dyDescent="0.2">
      <c r="A54" s="10" t="s">
        <v>733</v>
      </c>
      <c r="B54" s="10" t="s">
        <v>734</v>
      </c>
      <c r="C54" s="13">
        <v>14.302280577883501</v>
      </c>
      <c r="D54" s="13">
        <v>8.2444481058304699</v>
      </c>
      <c r="E54" s="13">
        <v>8.2736947423590905</v>
      </c>
      <c r="F54" s="13">
        <v>7.7775031800651098</v>
      </c>
      <c r="G54" s="13">
        <v>7.6227815372158796</v>
      </c>
      <c r="H54" s="13">
        <v>15.0053966825602</v>
      </c>
      <c r="I54" s="13">
        <v>12.241799368514499</v>
      </c>
      <c r="J54" s="13">
        <v>9.0801544016759195</v>
      </c>
      <c r="K54" s="13">
        <v>6.9732119965187804</v>
      </c>
      <c r="L54" s="13">
        <v>5.6690344520259401</v>
      </c>
      <c r="M54" s="13">
        <v>3.75448635788366</v>
      </c>
      <c r="N54" s="13">
        <v>2.40076795684385</v>
      </c>
      <c r="O54" s="13">
        <v>3.7501355601344799</v>
      </c>
      <c r="P54" s="13">
        <v>6.6806301182416101</v>
      </c>
      <c r="Q54" s="13">
        <v>1.8700205244555801</v>
      </c>
      <c r="R54" s="13">
        <v>4.0499527224925602</v>
      </c>
      <c r="S54" s="13">
        <v>3.7570022395285698</v>
      </c>
      <c r="T54" s="13">
        <v>4.0567535839905897</v>
      </c>
      <c r="U54" s="13">
        <v>4.8259909294150596</v>
      </c>
      <c r="V54" s="13">
        <v>4.38135077340909</v>
      </c>
      <c r="W54" s="13">
        <v>3.9664857919986898</v>
      </c>
      <c r="X54" s="13">
        <v>5.3010114763664697</v>
      </c>
    </row>
    <row r="55" spans="1:24" x14ac:dyDescent="0.2">
      <c r="A55" s="10" t="s">
        <v>735</v>
      </c>
      <c r="B55" s="10" t="s">
        <v>736</v>
      </c>
      <c r="C55" s="13" t="s">
        <v>658</v>
      </c>
      <c r="D55" s="13" t="s">
        <v>658</v>
      </c>
      <c r="E55" s="13" t="s">
        <v>658</v>
      </c>
      <c r="F55" s="13" t="s">
        <v>658</v>
      </c>
      <c r="G55" s="13" t="s">
        <v>658</v>
      </c>
      <c r="H55" s="13" t="s">
        <v>658</v>
      </c>
      <c r="I55" s="13" t="s">
        <v>658</v>
      </c>
      <c r="J55" s="13" t="s">
        <v>658</v>
      </c>
      <c r="K55" s="13" t="s">
        <v>658</v>
      </c>
      <c r="L55" s="13" t="s">
        <v>658</v>
      </c>
      <c r="M55" s="13" t="s">
        <v>658</v>
      </c>
      <c r="N55" s="13" t="s">
        <v>658</v>
      </c>
      <c r="O55" s="13" t="s">
        <v>658</v>
      </c>
      <c r="P55" s="13" t="s">
        <v>658</v>
      </c>
      <c r="Q55" s="13">
        <v>0</v>
      </c>
      <c r="R55" s="13">
        <v>0</v>
      </c>
      <c r="S55" s="13" t="s">
        <v>658</v>
      </c>
      <c r="T55" s="13" t="s">
        <v>658</v>
      </c>
      <c r="U55" s="13">
        <v>1.3374291839267001</v>
      </c>
      <c r="V55" s="13">
        <v>0.909984859600106</v>
      </c>
      <c r="W55" s="13">
        <v>0.83170455011412903</v>
      </c>
      <c r="X55" s="13">
        <v>0.882124100369578</v>
      </c>
    </row>
    <row r="56" spans="1:24" x14ac:dyDescent="0.2">
      <c r="A56" s="10" t="s">
        <v>737</v>
      </c>
      <c r="B56" s="10" t="s">
        <v>738</v>
      </c>
      <c r="C56" s="13" t="s">
        <v>658</v>
      </c>
      <c r="D56" s="13" t="s">
        <v>658</v>
      </c>
      <c r="E56" s="13" t="s">
        <v>658</v>
      </c>
      <c r="F56" s="13" t="s">
        <v>658</v>
      </c>
      <c r="G56" s="13" t="s">
        <v>658</v>
      </c>
      <c r="H56" s="13" t="s">
        <v>658</v>
      </c>
      <c r="I56" s="13" t="s">
        <v>658</v>
      </c>
      <c r="J56" s="13" t="s">
        <v>658</v>
      </c>
      <c r="K56" s="13" t="s">
        <v>658</v>
      </c>
      <c r="L56" s="13" t="s">
        <v>658</v>
      </c>
      <c r="M56" s="13" t="s">
        <v>658</v>
      </c>
      <c r="N56" s="13" t="s">
        <v>658</v>
      </c>
      <c r="O56" s="13" t="s">
        <v>658</v>
      </c>
      <c r="P56" s="13" t="s">
        <v>658</v>
      </c>
      <c r="Q56" s="13">
        <v>0</v>
      </c>
      <c r="R56" s="13">
        <v>0</v>
      </c>
      <c r="S56" s="13" t="s">
        <v>658</v>
      </c>
      <c r="T56" s="13" t="s">
        <v>658</v>
      </c>
      <c r="U56" s="13" t="s">
        <v>658</v>
      </c>
      <c r="V56" s="13" t="s">
        <v>658</v>
      </c>
      <c r="W56" s="13" t="s">
        <v>658</v>
      </c>
      <c r="X56" s="13" t="s">
        <v>658</v>
      </c>
    </row>
    <row r="57" spans="1:24" x14ac:dyDescent="0.2">
      <c r="A57" s="10" t="s">
        <v>739</v>
      </c>
      <c r="B57" s="10" t="s">
        <v>740</v>
      </c>
      <c r="C57" s="13">
        <v>14.302280577883501</v>
      </c>
      <c r="D57" s="13">
        <v>8.2444481058304699</v>
      </c>
      <c r="E57" s="13">
        <v>8.2736947423590905</v>
      </c>
      <c r="F57" s="13">
        <v>7.7775031800651098</v>
      </c>
      <c r="G57" s="13">
        <v>7.6227815372158796</v>
      </c>
      <c r="H57" s="13">
        <v>15.0053966825602</v>
      </c>
      <c r="I57" s="13">
        <v>12.241799368514499</v>
      </c>
      <c r="J57" s="13">
        <v>9.0801544016759195</v>
      </c>
      <c r="K57" s="13">
        <v>6.9732119965187804</v>
      </c>
      <c r="L57" s="13">
        <v>5.6690344520259401</v>
      </c>
      <c r="M57" s="13">
        <v>3.75448635788366</v>
      </c>
      <c r="N57" s="13">
        <v>2.40076795684385</v>
      </c>
      <c r="O57" s="13">
        <v>3.7501355601344799</v>
      </c>
      <c r="P57" s="13">
        <v>6.6806301182416101</v>
      </c>
      <c r="Q57" s="13">
        <v>1.8700205244555801</v>
      </c>
      <c r="R57" s="13">
        <v>4.0499527224925602</v>
      </c>
      <c r="S57" s="13">
        <v>3.7570022395285698</v>
      </c>
      <c r="T57" s="13">
        <v>4.0567535839905897</v>
      </c>
      <c r="U57" s="13">
        <v>3.4885617454883602</v>
      </c>
      <c r="V57" s="13">
        <v>3.4713659138089801</v>
      </c>
      <c r="W57" s="13">
        <v>3.1347812418845602</v>
      </c>
      <c r="X57" s="13">
        <v>4.4188873759968903</v>
      </c>
    </row>
    <row r="58" spans="1:24" x14ac:dyDescent="0.2">
      <c r="A58" s="6" t="s">
        <v>373</v>
      </c>
      <c r="B58" s="6" t="s">
        <v>741</v>
      </c>
      <c r="C58" s="19">
        <v>23.4109762179855</v>
      </c>
      <c r="D58" s="19">
        <v>10.345854955405301</v>
      </c>
      <c r="E58" s="19">
        <v>11.613693818548899</v>
      </c>
      <c r="F58" s="19">
        <v>9.4189519849885297</v>
      </c>
      <c r="G58" s="19">
        <v>9.5092494974020703</v>
      </c>
      <c r="H58" s="19">
        <v>20.434523620113598</v>
      </c>
      <c r="I58" s="19">
        <v>15.7732363605787</v>
      </c>
      <c r="J58" s="19">
        <v>14.283864616107101</v>
      </c>
      <c r="K58" s="19">
        <v>26.119260065587898</v>
      </c>
      <c r="L58" s="19">
        <v>25.455728551011902</v>
      </c>
      <c r="M58" s="19">
        <v>19.9817240191317</v>
      </c>
      <c r="N58" s="19">
        <v>18.150977786510602</v>
      </c>
      <c r="O58" s="19">
        <v>18.468441600694099</v>
      </c>
      <c r="P58" s="19">
        <v>18.894452815986099</v>
      </c>
      <c r="Q58" s="19">
        <v>21.260581897823599</v>
      </c>
      <c r="R58" s="19">
        <v>18.923456562348701</v>
      </c>
      <c r="S58" s="19">
        <v>25.554387278052001</v>
      </c>
      <c r="T58" s="19">
        <v>17.017705761475501</v>
      </c>
      <c r="U58" s="19">
        <v>19.461748281806301</v>
      </c>
      <c r="V58" s="19">
        <v>14.518394805438099</v>
      </c>
      <c r="W58" s="19">
        <v>13.185626614545599</v>
      </c>
      <c r="X58" s="19">
        <v>14.058548920443499</v>
      </c>
    </row>
    <row r="59" spans="1:24" x14ac:dyDescent="0.2">
      <c r="A59" s="10" t="s">
        <v>742</v>
      </c>
      <c r="B59" s="10" t="s">
        <v>743</v>
      </c>
      <c r="C59" s="13">
        <v>4.8602972544898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7.9904550593388004</v>
      </c>
      <c r="N59" s="13">
        <v>5.73071043448219</v>
      </c>
      <c r="O59" s="13">
        <v>4.6964808589090099</v>
      </c>
      <c r="P59" s="13">
        <v>1.1250512436286499</v>
      </c>
      <c r="Q59" s="13">
        <v>0</v>
      </c>
      <c r="R59" s="13">
        <v>0</v>
      </c>
      <c r="S59" s="13">
        <v>1.0835278812396401</v>
      </c>
      <c r="T59" s="13">
        <v>1.1563036166974601</v>
      </c>
      <c r="U59" s="13">
        <v>0.58247825393492703</v>
      </c>
      <c r="V59" s="13">
        <v>1.00207595173802</v>
      </c>
      <c r="W59" s="13">
        <v>0.50982053770348401</v>
      </c>
      <c r="X59" s="13">
        <v>7.4353238669519603</v>
      </c>
    </row>
    <row r="60" spans="1:24" x14ac:dyDescent="0.2">
      <c r="A60" s="10" t="s">
        <v>744</v>
      </c>
      <c r="B60" s="10" t="s">
        <v>745</v>
      </c>
      <c r="C60" s="13" t="s">
        <v>658</v>
      </c>
      <c r="D60" s="13" t="s">
        <v>658</v>
      </c>
      <c r="E60" s="13" t="s">
        <v>658</v>
      </c>
      <c r="F60" s="13" t="s">
        <v>658</v>
      </c>
      <c r="G60" s="13" t="s">
        <v>658</v>
      </c>
      <c r="H60" s="13" t="s">
        <v>658</v>
      </c>
      <c r="I60" s="13" t="s">
        <v>658</v>
      </c>
      <c r="J60" s="13">
        <v>0</v>
      </c>
      <c r="K60" s="13" t="s">
        <v>658</v>
      </c>
      <c r="L60" s="13" t="s">
        <v>658</v>
      </c>
      <c r="M60" s="13">
        <v>7.9904550593388004</v>
      </c>
      <c r="N60" s="13">
        <v>5.73071043448219</v>
      </c>
      <c r="O60" s="13">
        <v>4.6964808589090099</v>
      </c>
      <c r="P60" s="13">
        <v>1.1250512436286499</v>
      </c>
      <c r="Q60" s="13">
        <v>0</v>
      </c>
      <c r="R60" s="13">
        <v>0</v>
      </c>
      <c r="S60" s="13" t="s">
        <v>658</v>
      </c>
      <c r="T60" s="13" t="s">
        <v>658</v>
      </c>
      <c r="U60" s="13" t="s">
        <v>658</v>
      </c>
      <c r="V60" s="13" t="s">
        <v>658</v>
      </c>
      <c r="W60" s="13" t="s">
        <v>658</v>
      </c>
      <c r="X60" s="13">
        <v>6.6431628087920602</v>
      </c>
    </row>
    <row r="61" spans="1:24" x14ac:dyDescent="0.2">
      <c r="A61" s="10" t="s">
        <v>746</v>
      </c>
      <c r="B61" s="10" t="s">
        <v>747</v>
      </c>
      <c r="C61" s="13" t="s">
        <v>658</v>
      </c>
      <c r="D61" s="13" t="s">
        <v>658</v>
      </c>
      <c r="E61" s="13" t="s">
        <v>658</v>
      </c>
      <c r="F61" s="13" t="s">
        <v>658</v>
      </c>
      <c r="G61" s="13" t="s">
        <v>658</v>
      </c>
      <c r="H61" s="13" t="s">
        <v>658</v>
      </c>
      <c r="I61" s="13" t="s">
        <v>658</v>
      </c>
      <c r="J61" s="13">
        <v>0</v>
      </c>
      <c r="K61" s="13" t="s">
        <v>658</v>
      </c>
      <c r="L61" s="13" t="s">
        <v>658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1.0835278812396401</v>
      </c>
      <c r="T61" s="13">
        <v>1.1563036166974601</v>
      </c>
      <c r="U61" s="13">
        <v>0.58247825393492703</v>
      </c>
      <c r="V61" s="13">
        <v>1.00207595173802</v>
      </c>
      <c r="W61" s="13">
        <v>0.50982053770348401</v>
      </c>
      <c r="X61" s="13">
        <v>0.79216105815989102</v>
      </c>
    </row>
    <row r="62" spans="1:24" x14ac:dyDescent="0.2">
      <c r="A62" s="11" t="s">
        <v>748</v>
      </c>
      <c r="B62" s="11" t="s">
        <v>749</v>
      </c>
      <c r="C62" s="25" t="s">
        <v>658</v>
      </c>
      <c r="D62" s="25" t="s">
        <v>658</v>
      </c>
      <c r="E62" s="25" t="s">
        <v>658</v>
      </c>
      <c r="F62" s="25" t="s">
        <v>658</v>
      </c>
      <c r="G62" s="25" t="s">
        <v>658</v>
      </c>
      <c r="H62" s="25" t="s">
        <v>658</v>
      </c>
      <c r="I62" s="25" t="s">
        <v>658</v>
      </c>
      <c r="J62" s="25">
        <v>0</v>
      </c>
      <c r="K62" s="25" t="s">
        <v>658</v>
      </c>
      <c r="L62" s="25" t="s">
        <v>658</v>
      </c>
      <c r="M62" s="25">
        <v>0</v>
      </c>
      <c r="N62" s="25">
        <v>0</v>
      </c>
      <c r="O62" s="25">
        <v>0</v>
      </c>
      <c r="P62" s="25">
        <v>0</v>
      </c>
      <c r="Q62" s="25">
        <v>0</v>
      </c>
      <c r="R62" s="25">
        <v>0</v>
      </c>
      <c r="S62" s="25" t="s">
        <v>658</v>
      </c>
      <c r="T62" s="25" t="s">
        <v>658</v>
      </c>
      <c r="U62" s="25" t="s">
        <v>658</v>
      </c>
      <c r="V62" s="25" t="s">
        <v>658</v>
      </c>
      <c r="W62" s="25" t="s">
        <v>658</v>
      </c>
      <c r="X62" s="25" t="s">
        <v>658</v>
      </c>
    </row>
    <row r="63" spans="1:24" x14ac:dyDescent="0.2">
      <c r="A63" s="10" t="s">
        <v>750</v>
      </c>
      <c r="B63" s="10" t="s">
        <v>751</v>
      </c>
      <c r="C63" s="13">
        <v>2.1414713562824801</v>
      </c>
      <c r="D63" s="13">
        <v>0.99847510787770699</v>
      </c>
      <c r="E63" s="13">
        <v>0.99221097885275</v>
      </c>
      <c r="F63" s="13">
        <v>1.20050194957051</v>
      </c>
      <c r="G63" s="13">
        <v>1.56813849566335</v>
      </c>
      <c r="H63" s="13">
        <v>0.52785354271920304</v>
      </c>
      <c r="I63" s="13">
        <v>0.50309055123698798</v>
      </c>
      <c r="J63" s="13">
        <v>2.3212518067026502</v>
      </c>
      <c r="K63" s="13">
        <v>2.8472435071879199</v>
      </c>
      <c r="L63" s="13">
        <v>2.5341600052794102</v>
      </c>
      <c r="M63" s="13">
        <v>2.90443691683274</v>
      </c>
      <c r="N63" s="13">
        <v>2.7978234754671099</v>
      </c>
      <c r="O63" s="13">
        <v>3.0280067237826702</v>
      </c>
      <c r="P63" s="13">
        <v>2.1012336247749102</v>
      </c>
      <c r="Q63" s="13">
        <v>2.3144766263827798</v>
      </c>
      <c r="R63" s="13">
        <v>2.7431332303221798</v>
      </c>
      <c r="S63" s="13">
        <v>3.2745432331980902</v>
      </c>
      <c r="T63" s="13">
        <v>3.0602401147053202</v>
      </c>
      <c r="U63" s="13">
        <v>3.0529646106614101</v>
      </c>
      <c r="V63" s="13">
        <v>3.2583077091170201</v>
      </c>
      <c r="W63" s="13">
        <v>2.8791875674863001</v>
      </c>
      <c r="X63" s="13">
        <v>12.545710951176799</v>
      </c>
    </row>
    <row r="64" spans="1:24" x14ac:dyDescent="0.2">
      <c r="A64" s="10" t="s">
        <v>752</v>
      </c>
      <c r="B64" s="10" t="s">
        <v>753</v>
      </c>
      <c r="C64" s="13" t="s">
        <v>658</v>
      </c>
      <c r="D64" s="13" t="s">
        <v>658</v>
      </c>
      <c r="E64" s="13" t="s">
        <v>658</v>
      </c>
      <c r="F64" s="13" t="s">
        <v>658</v>
      </c>
      <c r="G64" s="13" t="s">
        <v>658</v>
      </c>
      <c r="H64" s="13" t="s">
        <v>658</v>
      </c>
      <c r="I64" s="13" t="s">
        <v>658</v>
      </c>
      <c r="J64" s="13" t="s">
        <v>658</v>
      </c>
      <c r="K64" s="13" t="s">
        <v>658</v>
      </c>
      <c r="L64" s="13" t="s">
        <v>658</v>
      </c>
      <c r="M64" s="13" t="s">
        <v>658</v>
      </c>
      <c r="N64" s="13" t="s">
        <v>658</v>
      </c>
      <c r="O64" s="13" t="s">
        <v>658</v>
      </c>
      <c r="P64" s="13" t="s">
        <v>658</v>
      </c>
      <c r="Q64" s="13">
        <v>0</v>
      </c>
      <c r="R64" s="13">
        <v>0</v>
      </c>
      <c r="S64" s="13" t="s">
        <v>658</v>
      </c>
      <c r="T64" s="13" t="s">
        <v>658</v>
      </c>
      <c r="U64" s="13" t="s">
        <v>658</v>
      </c>
      <c r="V64" s="13" t="s">
        <v>658</v>
      </c>
      <c r="W64" s="13" t="s">
        <v>658</v>
      </c>
      <c r="X64" s="13" t="s">
        <v>658</v>
      </c>
    </row>
    <row r="65" spans="1:24" x14ac:dyDescent="0.2">
      <c r="A65" s="10" t="s">
        <v>754</v>
      </c>
      <c r="B65" s="10" t="s">
        <v>755</v>
      </c>
      <c r="C65" s="13" t="s">
        <v>658</v>
      </c>
      <c r="D65" s="13" t="s">
        <v>658</v>
      </c>
      <c r="E65" s="13" t="s">
        <v>658</v>
      </c>
      <c r="F65" s="13" t="s">
        <v>658</v>
      </c>
      <c r="G65" s="13" t="s">
        <v>658</v>
      </c>
      <c r="H65" s="13" t="s">
        <v>658</v>
      </c>
      <c r="I65" s="13" t="s">
        <v>658</v>
      </c>
      <c r="J65" s="13" t="s">
        <v>658</v>
      </c>
      <c r="K65" s="13" t="s">
        <v>658</v>
      </c>
      <c r="L65" s="13" t="s">
        <v>658</v>
      </c>
      <c r="M65" s="13" t="s">
        <v>658</v>
      </c>
      <c r="N65" s="13" t="s">
        <v>658</v>
      </c>
      <c r="O65" s="13" t="s">
        <v>658</v>
      </c>
      <c r="P65" s="13">
        <v>2.0535228333214399</v>
      </c>
      <c r="Q65" s="13">
        <v>1.50044917738244</v>
      </c>
      <c r="R65" s="13">
        <v>1.7196328497958999</v>
      </c>
      <c r="S65" s="13">
        <v>1.9457760827853301</v>
      </c>
      <c r="T65" s="13">
        <v>2.0746289366631898</v>
      </c>
      <c r="U65" s="13">
        <v>1.86575065713531</v>
      </c>
      <c r="V65" s="13">
        <v>1.83323707993195</v>
      </c>
      <c r="W65" s="13">
        <v>2.0864371335237801</v>
      </c>
      <c r="X65" s="13">
        <v>2.6667963431239099</v>
      </c>
    </row>
    <row r="66" spans="1:24" x14ac:dyDescent="0.2">
      <c r="A66" s="10" t="s">
        <v>735</v>
      </c>
      <c r="B66" s="10" t="s">
        <v>756</v>
      </c>
      <c r="C66" s="13" t="s">
        <v>658</v>
      </c>
      <c r="D66" s="13" t="s">
        <v>658</v>
      </c>
      <c r="E66" s="13" t="s">
        <v>658</v>
      </c>
      <c r="F66" s="13" t="s">
        <v>658</v>
      </c>
      <c r="G66" s="13" t="s">
        <v>658</v>
      </c>
      <c r="H66" s="13" t="s">
        <v>658</v>
      </c>
      <c r="I66" s="13" t="s">
        <v>658</v>
      </c>
      <c r="J66" s="13" t="s">
        <v>658</v>
      </c>
      <c r="K66" s="13" t="s">
        <v>658</v>
      </c>
      <c r="L66" s="13" t="s">
        <v>658</v>
      </c>
      <c r="M66" s="13" t="s">
        <v>658</v>
      </c>
      <c r="N66" s="13" t="s">
        <v>658</v>
      </c>
      <c r="O66" s="13" t="s">
        <v>658</v>
      </c>
      <c r="P66" s="13" t="s">
        <v>658</v>
      </c>
      <c r="Q66" s="13">
        <v>0</v>
      </c>
      <c r="R66" s="13">
        <v>0</v>
      </c>
      <c r="S66" s="13" t="s">
        <v>658</v>
      </c>
      <c r="T66" s="13" t="s">
        <v>658</v>
      </c>
      <c r="U66" s="13" t="s">
        <v>658</v>
      </c>
      <c r="V66" s="13" t="s">
        <v>658</v>
      </c>
      <c r="W66" s="13" t="s">
        <v>658</v>
      </c>
      <c r="X66" s="13" t="s">
        <v>658</v>
      </c>
    </row>
    <row r="67" spans="1:24" x14ac:dyDescent="0.2">
      <c r="A67" s="10" t="s">
        <v>757</v>
      </c>
      <c r="B67" s="10" t="s">
        <v>758</v>
      </c>
      <c r="C67" s="13" t="s">
        <v>658</v>
      </c>
      <c r="D67" s="13" t="s">
        <v>658</v>
      </c>
      <c r="E67" s="13" t="s">
        <v>658</v>
      </c>
      <c r="F67" s="13" t="s">
        <v>658</v>
      </c>
      <c r="G67" s="13" t="s">
        <v>658</v>
      </c>
      <c r="H67" s="13" t="s">
        <v>658</v>
      </c>
      <c r="I67" s="13">
        <v>0.50309055123698798</v>
      </c>
      <c r="J67" s="13" t="s">
        <v>658</v>
      </c>
      <c r="K67" s="13">
        <v>0.915688036455928</v>
      </c>
      <c r="L67" s="13">
        <v>0.95049168066079004</v>
      </c>
      <c r="M67" s="13">
        <v>2.0361523492478599</v>
      </c>
      <c r="N67" s="13">
        <v>2.0551552289359099</v>
      </c>
      <c r="O67" s="13">
        <v>1.4658117340852399</v>
      </c>
      <c r="P67" s="13">
        <v>2.5744239376653599E-2</v>
      </c>
      <c r="Q67" s="13" t="s">
        <v>658</v>
      </c>
      <c r="R67" s="13" t="s">
        <v>658</v>
      </c>
      <c r="S67" s="13" t="s">
        <v>658</v>
      </c>
      <c r="T67" s="13" t="s">
        <v>658</v>
      </c>
      <c r="U67" s="13" t="s">
        <v>658</v>
      </c>
      <c r="V67" s="13" t="s">
        <v>658</v>
      </c>
      <c r="W67" s="13" t="s">
        <v>658</v>
      </c>
      <c r="X67" s="13" t="s">
        <v>658</v>
      </c>
    </row>
    <row r="68" spans="1:24" x14ac:dyDescent="0.2">
      <c r="A68" s="10" t="s">
        <v>737</v>
      </c>
      <c r="B68" s="10" t="s">
        <v>759</v>
      </c>
      <c r="C68" s="13" t="s">
        <v>658</v>
      </c>
      <c r="D68" s="13" t="s">
        <v>658</v>
      </c>
      <c r="E68" s="13" t="s">
        <v>658</v>
      </c>
      <c r="F68" s="13" t="s">
        <v>658</v>
      </c>
      <c r="G68" s="13" t="s">
        <v>658</v>
      </c>
      <c r="H68" s="13" t="s">
        <v>658</v>
      </c>
      <c r="I68" s="13" t="s">
        <v>658</v>
      </c>
      <c r="J68" s="13" t="s">
        <v>658</v>
      </c>
      <c r="K68" s="13" t="s">
        <v>658</v>
      </c>
      <c r="L68" s="13" t="s">
        <v>658</v>
      </c>
      <c r="M68" s="13" t="s">
        <v>658</v>
      </c>
      <c r="N68" s="13" t="s">
        <v>658</v>
      </c>
      <c r="O68" s="13" t="s">
        <v>658</v>
      </c>
      <c r="P68" s="13" t="s">
        <v>658</v>
      </c>
      <c r="Q68" s="13">
        <v>0</v>
      </c>
      <c r="R68" s="13">
        <v>0</v>
      </c>
      <c r="S68" s="13" t="s">
        <v>658</v>
      </c>
      <c r="T68" s="13" t="s">
        <v>658</v>
      </c>
      <c r="U68" s="13" t="s">
        <v>658</v>
      </c>
      <c r="V68" s="13" t="s">
        <v>658</v>
      </c>
      <c r="W68" s="13" t="s">
        <v>658</v>
      </c>
      <c r="X68" s="13" t="s">
        <v>658</v>
      </c>
    </row>
    <row r="69" spans="1:24" x14ac:dyDescent="0.2">
      <c r="A69" s="10" t="s">
        <v>760</v>
      </c>
      <c r="B69" s="10" t="s">
        <v>761</v>
      </c>
      <c r="C69" s="13">
        <v>2.1414713562824801</v>
      </c>
      <c r="D69" s="13">
        <v>0.99847510787770699</v>
      </c>
      <c r="E69" s="13">
        <v>0.99221097885275</v>
      </c>
      <c r="F69" s="13">
        <v>1.20050194957051</v>
      </c>
      <c r="G69" s="13">
        <v>1.56813849566335</v>
      </c>
      <c r="H69" s="13">
        <v>0.52785354271920304</v>
      </c>
      <c r="I69" s="13">
        <v>0</v>
      </c>
      <c r="J69" s="13">
        <v>2.3212518067026502</v>
      </c>
      <c r="K69" s="13">
        <v>1.931555470732</v>
      </c>
      <c r="L69" s="13">
        <v>1.5836683246186201</v>
      </c>
      <c r="M69" s="13">
        <v>0.86828456758487305</v>
      </c>
      <c r="N69" s="13">
        <v>0.742668246531201</v>
      </c>
      <c r="O69" s="13">
        <v>1.5621949896974301</v>
      </c>
      <c r="P69" s="13">
        <v>2.19665520768186E-2</v>
      </c>
      <c r="Q69" s="13">
        <v>0.81402744900033397</v>
      </c>
      <c r="R69" s="13">
        <v>1.0235003805262799</v>
      </c>
      <c r="S69" s="13">
        <v>1.3287671504127601</v>
      </c>
      <c r="T69" s="13">
        <v>0.98561117804212495</v>
      </c>
      <c r="U69" s="13">
        <v>1.1872139535260899</v>
      </c>
      <c r="V69" s="13">
        <v>1.4250706291850701</v>
      </c>
      <c r="W69" s="13">
        <v>0.79275043396252198</v>
      </c>
      <c r="X69" s="13">
        <v>9.8789146080529093</v>
      </c>
    </row>
    <row r="70" spans="1:24" x14ac:dyDescent="0.2">
      <c r="A70" s="6" t="s">
        <v>258</v>
      </c>
      <c r="B70" s="6" t="s">
        <v>762</v>
      </c>
      <c r="C70" s="19">
        <v>7.0017686107722801</v>
      </c>
      <c r="D70" s="19">
        <v>0.99847510787770699</v>
      </c>
      <c r="E70" s="19">
        <v>0.99221097885275</v>
      </c>
      <c r="F70" s="19">
        <v>1.20050194957051</v>
      </c>
      <c r="G70" s="19">
        <v>1.56813849566335</v>
      </c>
      <c r="H70" s="19">
        <v>0.52785354271920304</v>
      </c>
      <c r="I70" s="19">
        <v>0.50309055123698798</v>
      </c>
      <c r="J70" s="19">
        <v>2.3212518067026502</v>
      </c>
      <c r="K70" s="19">
        <v>2.8472435071879199</v>
      </c>
      <c r="L70" s="19">
        <v>2.5341600052794102</v>
      </c>
      <c r="M70" s="19">
        <v>10.8948919761715</v>
      </c>
      <c r="N70" s="19">
        <v>8.5285339099492994</v>
      </c>
      <c r="O70" s="19">
        <v>7.7244875826916797</v>
      </c>
      <c r="P70" s="19">
        <v>3.2262848684035599</v>
      </c>
      <c r="Q70" s="19">
        <v>2.3144766263827798</v>
      </c>
      <c r="R70" s="19">
        <v>2.7431332303221798</v>
      </c>
      <c r="S70" s="19">
        <v>4.3580711144377302</v>
      </c>
      <c r="T70" s="19">
        <v>4.2165437314027798</v>
      </c>
      <c r="U70" s="19">
        <v>3.6354428645963299</v>
      </c>
      <c r="V70" s="19">
        <v>4.2603836608550401</v>
      </c>
      <c r="W70" s="19">
        <v>3.38900810518978</v>
      </c>
      <c r="X70" s="19">
        <v>19.981034818128801</v>
      </c>
    </row>
    <row r="71" spans="1:24" x14ac:dyDescent="0.2">
      <c r="A71" s="6" t="s">
        <v>280</v>
      </c>
      <c r="B71" s="6" t="s">
        <v>763</v>
      </c>
      <c r="C71" s="19">
        <v>30.412744828757699</v>
      </c>
      <c r="D71" s="19">
        <v>11.344330063283</v>
      </c>
      <c r="E71" s="19">
        <v>12.6059047974016</v>
      </c>
      <c r="F71" s="19">
        <v>10.619453934559001</v>
      </c>
      <c r="G71" s="19">
        <v>11.0773879930654</v>
      </c>
      <c r="H71" s="19">
        <v>20.962377162832802</v>
      </c>
      <c r="I71" s="19">
        <v>16.276326911815701</v>
      </c>
      <c r="J71" s="19">
        <v>16.6051164228098</v>
      </c>
      <c r="K71" s="19">
        <v>28.9665035727758</v>
      </c>
      <c r="L71" s="19">
        <v>27.989888556291302</v>
      </c>
      <c r="M71" s="19">
        <v>30.8766159953033</v>
      </c>
      <c r="N71" s="19">
        <v>26.679511696459901</v>
      </c>
      <c r="O71" s="19">
        <v>26.1929291833858</v>
      </c>
      <c r="P71" s="19">
        <v>22.120737684389599</v>
      </c>
      <c r="Q71" s="19">
        <v>23.575058524206401</v>
      </c>
      <c r="R71" s="19">
        <v>21.666589792670798</v>
      </c>
      <c r="S71" s="19">
        <v>29.9124583924898</v>
      </c>
      <c r="T71" s="19">
        <v>21.234249492878298</v>
      </c>
      <c r="U71" s="19">
        <v>23.097191146402601</v>
      </c>
      <c r="V71" s="19">
        <v>18.778778466293101</v>
      </c>
      <c r="W71" s="19">
        <v>16.5746347197354</v>
      </c>
      <c r="X71" s="19">
        <v>34.039583738572297</v>
      </c>
    </row>
    <row r="72" spans="1:24" x14ac:dyDescent="0.2">
      <c r="A72" s="10" t="s">
        <v>764</v>
      </c>
      <c r="B72" s="10" t="s">
        <v>765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6.6950445865851398</v>
      </c>
      <c r="I72" s="13">
        <v>0.1225807574656</v>
      </c>
      <c r="J72" s="13">
        <v>0.66073787496493697</v>
      </c>
      <c r="K72" s="13">
        <v>0.50954874462283395</v>
      </c>
      <c r="L72" s="13">
        <v>0.45715391692389201</v>
      </c>
      <c r="M72" s="13">
        <v>12.1659201480779</v>
      </c>
      <c r="N72" s="13">
        <v>11.413476044742501</v>
      </c>
      <c r="O72" s="13">
        <v>10.461988938293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6.8340554651941598E-4</v>
      </c>
      <c r="X72" s="13">
        <v>0</v>
      </c>
    </row>
    <row r="73" spans="1:24" x14ac:dyDescent="0.2">
      <c r="A73" s="10" t="s">
        <v>766</v>
      </c>
      <c r="B73" s="10" t="s">
        <v>767</v>
      </c>
      <c r="C73" s="13">
        <v>41.5122034354834</v>
      </c>
      <c r="D73" s="13">
        <v>67.753418585935506</v>
      </c>
      <c r="E73" s="13">
        <v>63.377052646802298</v>
      </c>
      <c r="F73" s="13">
        <v>62.817330653010004</v>
      </c>
      <c r="G73" s="13">
        <v>60.721405034018296</v>
      </c>
      <c r="H73" s="13">
        <v>43.772899768362798</v>
      </c>
      <c r="I73" s="13">
        <v>48.150611188602298</v>
      </c>
      <c r="J73" s="13">
        <v>45.419960728264698</v>
      </c>
      <c r="K73" s="13">
        <v>35.0270278577567</v>
      </c>
      <c r="L73" s="13">
        <v>31.425340857680499</v>
      </c>
      <c r="M73" s="13">
        <v>21.1251604386763</v>
      </c>
      <c r="N73" s="13">
        <v>20.332196828650002</v>
      </c>
      <c r="O73" s="13">
        <v>18.637213968116299</v>
      </c>
      <c r="P73" s="13">
        <v>19.235843816415599</v>
      </c>
      <c r="Q73" s="13">
        <v>18.030439144661301</v>
      </c>
      <c r="R73" s="13">
        <v>15.8533013537511</v>
      </c>
      <c r="S73" s="13">
        <v>13.611720001504899</v>
      </c>
      <c r="T73" s="13">
        <v>15.184689218625101</v>
      </c>
      <c r="U73" s="13">
        <v>12.444435233085899</v>
      </c>
      <c r="V73" s="13">
        <v>10.7785599450575</v>
      </c>
      <c r="W73" s="13">
        <v>8.3136284734086896</v>
      </c>
      <c r="X73" s="13">
        <v>6.0639953316475399</v>
      </c>
    </row>
    <row r="74" spans="1:24" x14ac:dyDescent="0.2">
      <c r="A74" s="10" t="s">
        <v>768</v>
      </c>
      <c r="B74" s="10" t="s">
        <v>769</v>
      </c>
      <c r="C74" s="13" t="s">
        <v>658</v>
      </c>
      <c r="D74" s="13" t="s">
        <v>658</v>
      </c>
      <c r="E74" s="13" t="s">
        <v>658</v>
      </c>
      <c r="F74" s="13" t="s">
        <v>658</v>
      </c>
      <c r="G74" s="13" t="s">
        <v>658</v>
      </c>
      <c r="H74" s="13" t="s">
        <v>658</v>
      </c>
      <c r="I74" s="13" t="s">
        <v>658</v>
      </c>
      <c r="J74" s="13" t="s">
        <v>658</v>
      </c>
      <c r="K74" s="13" t="s">
        <v>658</v>
      </c>
      <c r="L74" s="13" t="s">
        <v>658</v>
      </c>
      <c r="M74" s="13" t="s">
        <v>658</v>
      </c>
      <c r="N74" s="13" t="s">
        <v>658</v>
      </c>
      <c r="O74" s="13" t="s">
        <v>658</v>
      </c>
      <c r="P74" s="13">
        <v>4.1239753023199199</v>
      </c>
      <c r="Q74" s="13">
        <v>3.8655484226332901</v>
      </c>
      <c r="R74" s="13">
        <v>3.3987915407855001</v>
      </c>
      <c r="S74" s="13">
        <v>2.9182185946215702</v>
      </c>
      <c r="T74" s="13">
        <v>3.2459094383007399</v>
      </c>
      <c r="U74" s="13">
        <v>2.6560251446058101</v>
      </c>
      <c r="V74" s="13">
        <v>2.3007164374795099</v>
      </c>
      <c r="W74" s="13">
        <v>2.01604636223228</v>
      </c>
      <c r="X74" s="13">
        <v>1.4369772417817499</v>
      </c>
    </row>
    <row r="75" spans="1:24" x14ac:dyDescent="0.2">
      <c r="A75" s="10" t="s">
        <v>770</v>
      </c>
      <c r="B75" s="10" t="s">
        <v>771</v>
      </c>
      <c r="C75" s="13" t="s">
        <v>658</v>
      </c>
      <c r="D75" s="13" t="s">
        <v>658</v>
      </c>
      <c r="E75" s="13" t="s">
        <v>658</v>
      </c>
      <c r="F75" s="13" t="s">
        <v>658</v>
      </c>
      <c r="G75" s="13" t="s">
        <v>658</v>
      </c>
      <c r="H75" s="13" t="s">
        <v>658</v>
      </c>
      <c r="I75" s="13" t="s">
        <v>658</v>
      </c>
      <c r="J75" s="13" t="s">
        <v>658</v>
      </c>
      <c r="K75" s="13" t="s">
        <v>658</v>
      </c>
      <c r="L75" s="13" t="s">
        <v>658</v>
      </c>
      <c r="M75" s="13" t="s">
        <v>658</v>
      </c>
      <c r="N75" s="13" t="s">
        <v>658</v>
      </c>
      <c r="O75" s="13" t="s">
        <v>658</v>
      </c>
      <c r="P75" s="13">
        <v>15.111868514095701</v>
      </c>
      <c r="Q75" s="13">
        <v>14.164890722028099</v>
      </c>
      <c r="R75" s="13">
        <v>12.4545098129656</v>
      </c>
      <c r="S75" s="13">
        <v>10.6935014068833</v>
      </c>
      <c r="T75" s="13">
        <v>11.9387797803243</v>
      </c>
      <c r="U75" s="13">
        <v>9.7884100884801093</v>
      </c>
      <c r="V75" s="13">
        <v>8.4778435075779992</v>
      </c>
      <c r="W75" s="13">
        <v>6.2975821111764096</v>
      </c>
      <c r="X75" s="13">
        <v>4.6270180898657802</v>
      </c>
    </row>
    <row r="76" spans="1:24" x14ac:dyDescent="0.2">
      <c r="A76" s="10" t="s">
        <v>772</v>
      </c>
      <c r="B76" s="10" t="s">
        <v>773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</row>
    <row r="77" spans="1:24" x14ac:dyDescent="0.2">
      <c r="A77" s="10" t="s">
        <v>774</v>
      </c>
      <c r="B77" s="10" t="s">
        <v>775</v>
      </c>
      <c r="C77" s="13">
        <v>14.0822700835745</v>
      </c>
      <c r="D77" s="13">
        <v>8.5027861347718101</v>
      </c>
      <c r="E77" s="13">
        <v>5.0579797702402098</v>
      </c>
      <c r="F77" s="13">
        <v>0.61530448079699696</v>
      </c>
      <c r="G77" s="13">
        <v>0.88957127508599398</v>
      </c>
      <c r="H77" s="13">
        <v>4.37342498498254</v>
      </c>
      <c r="I77" s="13">
        <v>7.6007143939300796</v>
      </c>
      <c r="J77" s="13">
        <v>9.1224994072008396</v>
      </c>
      <c r="K77" s="13">
        <v>11.336285083479099</v>
      </c>
      <c r="L77" s="13">
        <v>14.3417929093456</v>
      </c>
      <c r="M77" s="13">
        <v>13.6801501710063</v>
      </c>
      <c r="N77" s="13">
        <v>17.524093789667099</v>
      </c>
      <c r="O77" s="13">
        <v>22.571169070599701</v>
      </c>
      <c r="P77" s="13">
        <v>35.906777870587597</v>
      </c>
      <c r="Q77" s="13">
        <v>43.157880931928297</v>
      </c>
      <c r="R77" s="13">
        <v>46.038952053688803</v>
      </c>
      <c r="S77" s="13">
        <v>44.173958500406897</v>
      </c>
      <c r="T77" s="13">
        <v>54.223701801410897</v>
      </c>
      <c r="U77" s="13">
        <v>57.501344908406601</v>
      </c>
      <c r="V77" s="13">
        <v>63.9720917164843</v>
      </c>
      <c r="W77" s="13">
        <v>68.674739964189499</v>
      </c>
      <c r="X77" s="13">
        <v>57.181482201906199</v>
      </c>
    </row>
    <row r="78" spans="1:24" x14ac:dyDescent="0.2">
      <c r="A78" s="10" t="s">
        <v>776</v>
      </c>
      <c r="B78" s="10" t="s">
        <v>777</v>
      </c>
      <c r="C78" s="13">
        <v>13.9927816521844</v>
      </c>
      <c r="D78" s="13">
        <v>12.3994611591905</v>
      </c>
      <c r="E78" s="13">
        <v>18.959062785555801</v>
      </c>
      <c r="F78" s="13">
        <v>25.947910931633999</v>
      </c>
      <c r="G78" s="13">
        <v>27.311635697830301</v>
      </c>
      <c r="H78" s="13">
        <v>24.196253497236601</v>
      </c>
      <c r="I78" s="13">
        <v>27.849766748186301</v>
      </c>
      <c r="J78" s="13">
        <v>28.191685566759698</v>
      </c>
      <c r="K78" s="13">
        <v>22.7859369410636</v>
      </c>
      <c r="L78" s="13">
        <v>22.3164554835652</v>
      </c>
      <c r="M78" s="13">
        <v>16.854338955006</v>
      </c>
      <c r="N78" s="13">
        <v>18.581156811445201</v>
      </c>
      <c r="O78" s="13">
        <v>15.723348877562101</v>
      </c>
      <c r="P78" s="13">
        <v>19.1048839900213</v>
      </c>
      <c r="Q78" s="13">
        <v>10.467603491124599</v>
      </c>
      <c r="R78" s="13">
        <v>11.9017089089274</v>
      </c>
      <c r="S78" s="13">
        <v>10.122233508971</v>
      </c>
      <c r="T78" s="13">
        <v>9.4337856499417398</v>
      </c>
      <c r="U78" s="13">
        <v>7.2801671741424396</v>
      </c>
      <c r="V78" s="13">
        <v>7.03326205378744</v>
      </c>
      <c r="W78" s="13">
        <v>7.0014898240914096</v>
      </c>
      <c r="X78" s="13">
        <v>3.1127212604551602</v>
      </c>
    </row>
    <row r="79" spans="1:24" x14ac:dyDescent="0.2">
      <c r="A79" s="6" t="s">
        <v>778</v>
      </c>
      <c r="B79" s="6" t="s">
        <v>779</v>
      </c>
      <c r="C79" s="19">
        <v>69.587255171242305</v>
      </c>
      <c r="D79" s="19">
        <v>88.6556658265186</v>
      </c>
      <c r="E79" s="19">
        <v>87.394095202598294</v>
      </c>
      <c r="F79" s="19">
        <v>89.380546065440996</v>
      </c>
      <c r="G79" s="19">
        <v>88.9226120069346</v>
      </c>
      <c r="H79" s="19">
        <v>79.037622837167206</v>
      </c>
      <c r="I79" s="19">
        <v>83.723673088184299</v>
      </c>
      <c r="J79" s="19">
        <v>83.3948835771902</v>
      </c>
      <c r="K79" s="19">
        <v>69.658798626922405</v>
      </c>
      <c r="L79" s="19">
        <v>68.540743167515203</v>
      </c>
      <c r="M79" s="19">
        <v>63.825569712766402</v>
      </c>
      <c r="N79" s="19">
        <v>67.850923474504796</v>
      </c>
      <c r="O79" s="19">
        <v>67.3937208545711</v>
      </c>
      <c r="P79" s="19">
        <v>74.247505677024506</v>
      </c>
      <c r="Q79" s="19">
        <v>71.655923567714296</v>
      </c>
      <c r="R79" s="19">
        <v>73.7939623163672</v>
      </c>
      <c r="S79" s="19">
        <v>67.907912010882796</v>
      </c>
      <c r="T79" s="19">
        <v>78.842176669977704</v>
      </c>
      <c r="U79" s="19">
        <v>77.225947315634897</v>
      </c>
      <c r="V79" s="19">
        <v>81.783913715329305</v>
      </c>
      <c r="W79" s="19">
        <v>83.990541667236201</v>
      </c>
      <c r="X79" s="19">
        <v>66.358198794008999</v>
      </c>
    </row>
    <row r="80" spans="1:24" x14ac:dyDescent="0.2">
      <c r="A80" s="10" t="s">
        <v>780</v>
      </c>
      <c r="B80" s="10" t="s">
        <v>781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1.37469780030184</v>
      </c>
      <c r="L80" s="13">
        <v>3.4693682761934799</v>
      </c>
      <c r="M80" s="13">
        <v>5.2978142919303197</v>
      </c>
      <c r="N80" s="13">
        <v>5.4695648290352796</v>
      </c>
      <c r="O80" s="13">
        <v>6.41334996204316</v>
      </c>
      <c r="P80" s="13">
        <v>3.63175663858586</v>
      </c>
      <c r="Q80" s="13">
        <v>4.7690179080792898</v>
      </c>
      <c r="R80" s="13">
        <v>4.5394478909619203</v>
      </c>
      <c r="S80" s="13">
        <v>2.1796295966274402</v>
      </c>
      <c r="T80" s="13">
        <v>-7.6426162856003899E-2</v>
      </c>
      <c r="U80" s="13">
        <v>-0.32313846203753799</v>
      </c>
      <c r="V80" s="13">
        <v>-0.56269218162236401</v>
      </c>
      <c r="W80" s="13">
        <v>-0.56517638697155703</v>
      </c>
      <c r="X80" s="13">
        <v>-0.39778253258120999</v>
      </c>
    </row>
    <row r="81" spans="1:24" x14ac:dyDescent="0.2">
      <c r="A81" s="6" t="s">
        <v>782</v>
      </c>
      <c r="B81" s="6" t="s">
        <v>783</v>
      </c>
      <c r="C81" s="19">
        <v>69.587255171242305</v>
      </c>
      <c r="D81" s="19">
        <v>88.6556658265186</v>
      </c>
      <c r="E81" s="19">
        <v>87.394095202598294</v>
      </c>
      <c r="F81" s="19">
        <v>89.380546065440996</v>
      </c>
      <c r="G81" s="19">
        <v>88.9226120069346</v>
      </c>
      <c r="H81" s="19">
        <v>79.037622837167206</v>
      </c>
      <c r="I81" s="19">
        <v>83.723673088184299</v>
      </c>
      <c r="J81" s="19">
        <v>83.3948835771902</v>
      </c>
      <c r="K81" s="19">
        <v>71.033496427224193</v>
      </c>
      <c r="L81" s="19">
        <v>72.010111443708695</v>
      </c>
      <c r="M81" s="19">
        <v>69.123384004696703</v>
      </c>
      <c r="N81" s="19">
        <v>73.320488303540102</v>
      </c>
      <c r="O81" s="19">
        <v>73.807070816614299</v>
      </c>
      <c r="P81" s="19">
        <v>77.879262315610404</v>
      </c>
      <c r="Q81" s="19">
        <v>76.424941475793602</v>
      </c>
      <c r="R81" s="19">
        <v>78.333410207329194</v>
      </c>
      <c r="S81" s="19">
        <v>70.087541607510204</v>
      </c>
      <c r="T81" s="19">
        <v>78.765750507121695</v>
      </c>
      <c r="U81" s="19">
        <v>76.902808853597406</v>
      </c>
      <c r="V81" s="19">
        <v>81.221221533706895</v>
      </c>
      <c r="W81" s="19">
        <v>83.4253652802646</v>
      </c>
      <c r="X81" s="19">
        <v>65.960416261427696</v>
      </c>
    </row>
    <row r="82" spans="1:24" x14ac:dyDescent="0.2">
      <c r="A82" s="6" t="s">
        <v>784</v>
      </c>
      <c r="B82" s="6" t="s">
        <v>785</v>
      </c>
      <c r="C82" s="19">
        <v>100</v>
      </c>
      <c r="D82" s="19">
        <v>99.999995943180906</v>
      </c>
      <c r="E82" s="19">
        <v>100</v>
      </c>
      <c r="F82" s="19">
        <v>100</v>
      </c>
      <c r="G82" s="19">
        <v>100</v>
      </c>
      <c r="H82" s="19">
        <v>100</v>
      </c>
      <c r="I82" s="19">
        <v>100</v>
      </c>
      <c r="J82" s="19">
        <v>100</v>
      </c>
      <c r="K82" s="19">
        <v>100</v>
      </c>
      <c r="L82" s="19">
        <v>100</v>
      </c>
      <c r="M82" s="19">
        <v>100</v>
      </c>
      <c r="N82" s="19">
        <v>100</v>
      </c>
      <c r="O82" s="19">
        <v>100</v>
      </c>
      <c r="P82" s="19">
        <v>100</v>
      </c>
      <c r="Q82" s="19">
        <v>100</v>
      </c>
      <c r="R82" s="19">
        <v>100</v>
      </c>
      <c r="S82" s="19">
        <v>100</v>
      </c>
      <c r="T82" s="19">
        <v>100</v>
      </c>
      <c r="U82" s="19">
        <v>100</v>
      </c>
      <c r="V82" s="19">
        <v>100</v>
      </c>
      <c r="W82" s="19">
        <v>100</v>
      </c>
      <c r="X82" s="19">
        <v>100</v>
      </c>
    </row>
    <row r="83" spans="1:24" x14ac:dyDescent="0.2">
      <c r="A83" s="6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 spans="1:24" x14ac:dyDescent="0.2">
      <c r="A84" s="6" t="s">
        <v>2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spans="1:24" x14ac:dyDescent="0.2">
      <c r="A85" s="10" t="s">
        <v>202</v>
      </c>
      <c r="B85" s="10" t="s">
        <v>203</v>
      </c>
      <c r="C85" s="12" t="s">
        <v>204</v>
      </c>
      <c r="D85" s="12" t="s">
        <v>204</v>
      </c>
      <c r="E85" s="12" t="s">
        <v>204</v>
      </c>
      <c r="F85" s="12" t="s">
        <v>204</v>
      </c>
      <c r="G85" s="12" t="s">
        <v>204</v>
      </c>
      <c r="H85" s="12" t="s">
        <v>204</v>
      </c>
      <c r="I85" s="12" t="s">
        <v>204</v>
      </c>
      <c r="J85" s="12" t="s">
        <v>204</v>
      </c>
      <c r="K85" s="12" t="s">
        <v>204</v>
      </c>
      <c r="L85" s="12" t="s">
        <v>204</v>
      </c>
      <c r="M85" s="12" t="s">
        <v>204</v>
      </c>
      <c r="N85" s="12" t="s">
        <v>204</v>
      </c>
      <c r="O85" s="12" t="s">
        <v>204</v>
      </c>
      <c r="P85" s="12" t="s">
        <v>204</v>
      </c>
      <c r="Q85" s="12" t="s">
        <v>204</v>
      </c>
      <c r="R85" s="12" t="s">
        <v>204</v>
      </c>
      <c r="S85" s="12" t="s">
        <v>204</v>
      </c>
      <c r="T85" s="12" t="s">
        <v>204</v>
      </c>
      <c r="U85" s="12" t="s">
        <v>204</v>
      </c>
      <c r="V85" s="12" t="s">
        <v>204</v>
      </c>
      <c r="W85" s="12" t="s">
        <v>204</v>
      </c>
      <c r="X85" s="12" t="s">
        <v>204</v>
      </c>
    </row>
    <row r="86" spans="1:24" x14ac:dyDescent="0.2">
      <c r="A86" s="10" t="s">
        <v>430</v>
      </c>
      <c r="B86" s="10" t="s">
        <v>786</v>
      </c>
      <c r="C86" s="13">
        <v>3.38867717312201</v>
      </c>
      <c r="D86" s="13">
        <v>2.1671813392964498</v>
      </c>
      <c r="E86" s="13">
        <v>2.02529567702795</v>
      </c>
      <c r="F86" s="13">
        <v>1.9985690547581501</v>
      </c>
      <c r="G86" s="13">
        <v>1.93188599071122</v>
      </c>
      <c r="H86" s="13">
        <v>1.87825768097192</v>
      </c>
      <c r="I86" s="13">
        <v>2.0645869661585499</v>
      </c>
      <c r="J86" s="13">
        <v>1.9475029829985999</v>
      </c>
      <c r="K86" s="13">
        <v>1.50187803323492</v>
      </c>
      <c r="L86" s="13">
        <v>1.3474460154808301</v>
      </c>
      <c r="M86" s="13">
        <v>0.905798075139433</v>
      </c>
      <c r="N86" s="13">
        <v>0.87179762748827605</v>
      </c>
      <c r="O86" s="13">
        <v>0.79911800509706099</v>
      </c>
      <c r="P86" s="13">
        <v>0.82478578414294801</v>
      </c>
      <c r="Q86" s="13">
        <v>0.77310098950170802</v>
      </c>
      <c r="R86" s="13">
        <v>0.67975066303821396</v>
      </c>
      <c r="S86" s="13">
        <v>0.58363715478884903</v>
      </c>
      <c r="T86" s="13">
        <v>0.64917458642874004</v>
      </c>
      <c r="U86" s="13">
        <v>0.53119905455417105</v>
      </c>
      <c r="V86" s="13">
        <v>0.46006006992679499</v>
      </c>
      <c r="W86" s="13">
        <v>0.40323681368997999</v>
      </c>
      <c r="X86" s="13">
        <v>0.28742651721454998</v>
      </c>
    </row>
    <row r="87" spans="1:24" x14ac:dyDescent="0.2">
      <c r="A87" s="10" t="s">
        <v>787</v>
      </c>
      <c r="B87" s="10" t="s">
        <v>788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</row>
    <row r="88" spans="1:24" x14ac:dyDescent="0.2">
      <c r="A88" s="10" t="s">
        <v>789</v>
      </c>
      <c r="B88" s="10" t="s">
        <v>790</v>
      </c>
      <c r="C88" s="13" t="s">
        <v>658</v>
      </c>
      <c r="D88" s="13" t="s">
        <v>658</v>
      </c>
      <c r="E88" s="13" t="s">
        <v>658</v>
      </c>
      <c r="F88" s="13" t="s">
        <v>658</v>
      </c>
      <c r="G88" s="13" t="s">
        <v>658</v>
      </c>
      <c r="H88" s="13" t="s">
        <v>658</v>
      </c>
      <c r="I88" s="13" t="s">
        <v>658</v>
      </c>
      <c r="J88" s="13" t="s">
        <v>658</v>
      </c>
      <c r="K88" s="13">
        <v>1.5232343421293</v>
      </c>
      <c r="L88" s="13">
        <v>1.4816494222216701</v>
      </c>
      <c r="M88" s="13">
        <v>1.5474798395157701</v>
      </c>
      <c r="N88" s="13">
        <v>1.6894847187286901</v>
      </c>
      <c r="O88" s="13" t="s">
        <v>658</v>
      </c>
      <c r="P88" s="13">
        <v>2.0535228333214399</v>
      </c>
      <c r="Q88" s="13">
        <v>1.50044917738244</v>
      </c>
      <c r="R88" s="13">
        <v>1.7196328497958999</v>
      </c>
      <c r="S88" s="13">
        <v>1.9457760827853301</v>
      </c>
      <c r="T88" s="13">
        <v>2.0746289366631898</v>
      </c>
      <c r="U88" s="13">
        <v>1.86575065713531</v>
      </c>
      <c r="V88" s="13">
        <v>1.83323707993195</v>
      </c>
      <c r="W88" s="13">
        <v>2.0864371335237801</v>
      </c>
      <c r="X88" s="13">
        <v>2.6667963431239099</v>
      </c>
    </row>
    <row r="89" spans="1:24" x14ac:dyDescent="0.2">
      <c r="A89" s="10" t="s">
        <v>791</v>
      </c>
      <c r="B89" s="10" t="s">
        <v>792</v>
      </c>
      <c r="C89" s="13">
        <v>3.2422019411695202</v>
      </c>
      <c r="D89" s="13">
        <v>2.7681153954259901</v>
      </c>
      <c r="E89" s="13">
        <v>4.1762370793937</v>
      </c>
      <c r="F89" s="13">
        <v>2.1286195958498801</v>
      </c>
      <c r="G89" s="13">
        <v>1.4643300840118001</v>
      </c>
      <c r="H89" s="13">
        <v>1.5405287391759701</v>
      </c>
      <c r="I89" s="13">
        <v>1.6160541331082501</v>
      </c>
      <c r="J89" s="13">
        <v>1.66499538637466</v>
      </c>
      <c r="K89" s="13">
        <v>2.0143413966770001</v>
      </c>
      <c r="L89" s="13">
        <v>2.11815341524844</v>
      </c>
      <c r="M89" s="13">
        <v>3.2166969444359399</v>
      </c>
      <c r="N89" s="13">
        <v>5.2389286533946802</v>
      </c>
      <c r="O89" s="13">
        <v>2.9809673571196198</v>
      </c>
      <c r="P89" s="13">
        <v>4.55631062663437</v>
      </c>
      <c r="Q89" s="13">
        <v>4.9501314745477103</v>
      </c>
      <c r="R89" s="13">
        <v>3.5030326791356301</v>
      </c>
      <c r="S89" s="13" t="s">
        <v>658</v>
      </c>
      <c r="T89" s="13" t="s">
        <v>658</v>
      </c>
      <c r="U89" s="13" t="s">
        <v>658</v>
      </c>
      <c r="V89" s="13" t="s">
        <v>658</v>
      </c>
      <c r="W89" s="13" t="s">
        <v>658</v>
      </c>
      <c r="X89" s="13" t="s">
        <v>658</v>
      </c>
    </row>
    <row r="90" spans="1:24" x14ac:dyDescent="0.2">
      <c r="A90" s="10" t="s">
        <v>793</v>
      </c>
      <c r="B90" s="10" t="s">
        <v>794</v>
      </c>
      <c r="C90" s="13" t="s">
        <v>658</v>
      </c>
      <c r="D90" s="13" t="s">
        <v>658</v>
      </c>
      <c r="E90" s="13" t="s">
        <v>658</v>
      </c>
      <c r="F90" s="13" t="s">
        <v>658</v>
      </c>
      <c r="G90" s="13" t="s">
        <v>658</v>
      </c>
      <c r="H90" s="13" t="s">
        <v>658</v>
      </c>
      <c r="I90" s="13" t="s">
        <v>658</v>
      </c>
      <c r="J90" s="13">
        <v>0</v>
      </c>
      <c r="K90" s="13" t="s">
        <v>658</v>
      </c>
      <c r="L90" s="13" t="s">
        <v>658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 t="s">
        <v>658</v>
      </c>
      <c r="T90" s="13" t="s">
        <v>658</v>
      </c>
      <c r="U90" s="13" t="s">
        <v>658</v>
      </c>
      <c r="V90" s="13" t="s">
        <v>658</v>
      </c>
      <c r="W90" s="13" t="s">
        <v>658</v>
      </c>
      <c r="X90" s="13" t="s">
        <v>658</v>
      </c>
    </row>
    <row r="91" spans="1:24" x14ac:dyDescent="0.2">
      <c r="A91" s="10" t="s">
        <v>795</v>
      </c>
      <c r="B91" s="10" t="s">
        <v>796</v>
      </c>
      <c r="C91" s="13" t="s">
        <v>658</v>
      </c>
      <c r="D91" s="13">
        <v>0.31653865085641397</v>
      </c>
      <c r="E91" s="13">
        <v>0.14161220192402901</v>
      </c>
      <c r="F91" s="13">
        <v>6.0864885646694497E-2</v>
      </c>
      <c r="G91" s="13">
        <v>4.1278766617327399E-2</v>
      </c>
      <c r="H91" s="13">
        <v>2.0340183077339601E-2</v>
      </c>
      <c r="I91" s="13">
        <v>2.5917074435584001E-2</v>
      </c>
      <c r="J91" s="13">
        <v>2.1473980936360399E-2</v>
      </c>
      <c r="K91" s="13">
        <v>5.6050361908511802E-3</v>
      </c>
      <c r="L91" s="13">
        <v>4.8001161277008699E-3</v>
      </c>
      <c r="M91" s="13">
        <v>9.3730795621171197E-3</v>
      </c>
      <c r="N91" s="13">
        <v>1.0943808313591799E-2</v>
      </c>
      <c r="O91" s="13">
        <v>5.0157249755991796E-3</v>
      </c>
      <c r="P91" s="13">
        <v>1.18927192772585E-2</v>
      </c>
      <c r="Q91" s="13">
        <v>1.04917344804296E-2</v>
      </c>
      <c r="R91" s="13">
        <v>1.2222965337515299E-2</v>
      </c>
      <c r="S91" s="13">
        <v>9.9006568095727499E-3</v>
      </c>
      <c r="T91" s="13">
        <v>1.8721106175101801E-3</v>
      </c>
      <c r="U91" s="13">
        <v>7.7495559774758303E-3</v>
      </c>
      <c r="V91" s="13">
        <v>5.6191174863814402E-3</v>
      </c>
      <c r="W91" s="13">
        <v>4.7838388256359098E-3</v>
      </c>
      <c r="X91" s="13" t="s">
        <v>658</v>
      </c>
    </row>
    <row r="92" spans="1:24" x14ac:dyDescent="0.2">
      <c r="A92" s="10" t="s">
        <v>797</v>
      </c>
      <c r="B92" s="10" t="s">
        <v>798</v>
      </c>
      <c r="C92" s="13" t="s">
        <v>658</v>
      </c>
      <c r="D92" s="13">
        <v>20914</v>
      </c>
      <c r="E92" s="13">
        <v>22346</v>
      </c>
      <c r="F92" s="13">
        <v>21954</v>
      </c>
      <c r="G92" s="13">
        <v>21781</v>
      </c>
      <c r="H92" s="13">
        <v>21627</v>
      </c>
      <c r="I92" s="13">
        <v>20638</v>
      </c>
      <c r="J92" s="13">
        <v>19192</v>
      </c>
      <c r="K92" s="13">
        <v>17960</v>
      </c>
      <c r="L92" s="13">
        <v>16347</v>
      </c>
      <c r="M92" s="13">
        <v>15638</v>
      </c>
      <c r="N92" s="13">
        <v>15089</v>
      </c>
      <c r="O92" s="13">
        <v>16516</v>
      </c>
      <c r="P92" s="13">
        <v>22008</v>
      </c>
      <c r="Q92" s="13">
        <v>22580</v>
      </c>
      <c r="R92" s="13">
        <v>20912</v>
      </c>
      <c r="S92" s="13">
        <v>20175</v>
      </c>
      <c r="T92" s="13">
        <v>27454</v>
      </c>
      <c r="U92" s="13">
        <v>41295</v>
      </c>
      <c r="V92" s="13">
        <v>40043</v>
      </c>
      <c r="W92" s="13">
        <v>52540</v>
      </c>
      <c r="X92" s="13">
        <v>52883</v>
      </c>
    </row>
    <row r="93" spans="1:24" x14ac:dyDescent="0.2">
      <c r="A93" s="10" t="s">
        <v>512</v>
      </c>
      <c r="B93" s="10" t="s">
        <v>799</v>
      </c>
      <c r="C93" s="13" t="s">
        <v>658</v>
      </c>
      <c r="D93" s="13" t="s">
        <v>658</v>
      </c>
      <c r="E93" s="13" t="s">
        <v>658</v>
      </c>
      <c r="F93" s="13">
        <v>3.6813438899210402E-3</v>
      </c>
      <c r="G93" s="13" t="s">
        <v>658</v>
      </c>
      <c r="H93" s="13" t="s">
        <v>658</v>
      </c>
      <c r="I93" s="13" t="s">
        <v>658</v>
      </c>
      <c r="J93" s="13" t="s">
        <v>658</v>
      </c>
      <c r="K93" s="13" t="s">
        <v>658</v>
      </c>
      <c r="L93" s="13" t="s">
        <v>658</v>
      </c>
      <c r="M93" s="13">
        <v>6.39213294727987E-3</v>
      </c>
      <c r="N93" s="13">
        <v>6.1521949438570096E-3</v>
      </c>
      <c r="O93" s="13" t="s">
        <v>658</v>
      </c>
      <c r="P93" s="13" t="s">
        <v>658</v>
      </c>
      <c r="Q93" s="13" t="s">
        <v>658</v>
      </c>
      <c r="R93" s="13" t="s">
        <v>658</v>
      </c>
      <c r="S93" s="13" t="s">
        <v>658</v>
      </c>
      <c r="T93" s="13" t="s">
        <v>658</v>
      </c>
      <c r="U93" s="13" t="s">
        <v>658</v>
      </c>
      <c r="V93" s="13" t="s">
        <v>658</v>
      </c>
      <c r="W93" s="13" t="s">
        <v>658</v>
      </c>
      <c r="X93" s="13" t="s">
        <v>658</v>
      </c>
    </row>
    <row r="94" spans="1:24" x14ac:dyDescent="0.2">
      <c r="A94" s="10" t="s">
        <v>800</v>
      </c>
      <c r="B94" s="10" t="s">
        <v>801</v>
      </c>
      <c r="C94" s="13">
        <v>0.119480482253773</v>
      </c>
      <c r="D94" s="13">
        <v>-54.412826524911502</v>
      </c>
      <c r="E94" s="13">
        <v>-4.53433738924209</v>
      </c>
      <c r="F94" s="13">
        <v>-11.747768215453799</v>
      </c>
      <c r="G94" s="13">
        <v>-2.2391857687939098</v>
      </c>
      <c r="H94" s="13">
        <v>-3.6338314116748198</v>
      </c>
      <c r="I94" s="13">
        <v>-3.3731698240237198</v>
      </c>
      <c r="J94" s="13">
        <v>-15.2933744650325</v>
      </c>
      <c r="K94" s="13">
        <v>0.70239100838912105</v>
      </c>
      <c r="L94" s="13">
        <v>-8.0275000582145495</v>
      </c>
      <c r="M94" s="13">
        <v>-2.5507365376752702</v>
      </c>
      <c r="N94" s="13">
        <v>-4.3929604543988496</v>
      </c>
      <c r="O94" s="13">
        <v>-6.4967194447456897</v>
      </c>
      <c r="P94" s="13">
        <v>-12.418237554968799</v>
      </c>
      <c r="Q94" s="13">
        <v>-5.2265886781070297</v>
      </c>
      <c r="R94" s="13">
        <v>-9.5700053043057096</v>
      </c>
      <c r="S94" s="13">
        <v>-10.4846965547694</v>
      </c>
      <c r="T94" s="13">
        <v>-26.2518363202675</v>
      </c>
      <c r="U94" s="13">
        <v>-33.223427808831097</v>
      </c>
      <c r="V94" s="13">
        <v>-29.6595751322834</v>
      </c>
      <c r="W94" s="13">
        <v>-30.129983734947999</v>
      </c>
      <c r="X94" s="13">
        <v>-8.5299552616222503</v>
      </c>
    </row>
    <row r="95" spans="1:24" x14ac:dyDescent="0.2">
      <c r="A95" s="10" t="s">
        <v>802</v>
      </c>
      <c r="B95" s="10" t="s">
        <v>803</v>
      </c>
      <c r="C95" s="13">
        <v>1.8161189001035399E-2</v>
      </c>
      <c r="D95" s="13">
        <v>-3.2761731147127202</v>
      </c>
      <c r="E95" s="13">
        <v>-0.25871053387978599</v>
      </c>
      <c r="F95" s="13">
        <v>-0.64514520894577099</v>
      </c>
      <c r="G95" s="13">
        <v>-0.119477309544051</v>
      </c>
      <c r="H95" s="13">
        <v>-0.146576747172143</v>
      </c>
      <c r="I95" s="13">
        <v>-0.141105581810684</v>
      </c>
      <c r="J95" s="13">
        <v>-0.60584720814979898</v>
      </c>
      <c r="K95" s="13">
        <v>2.5192523050585901E-2</v>
      </c>
      <c r="L95" s="13">
        <v>-0.254811650292458</v>
      </c>
      <c r="M95" s="13">
        <v>-5.6701307748916699E-2</v>
      </c>
      <c r="N95" s="13">
        <v>-8.86071355682021E-2</v>
      </c>
      <c r="O95" s="13">
        <v>-0.119324097169504</v>
      </c>
      <c r="P95" s="13">
        <v>-0.223100417924147</v>
      </c>
      <c r="Q95" s="13">
        <v>-8.9689274168694003E-2</v>
      </c>
      <c r="R95" s="13">
        <v>-0.140875625562141</v>
      </c>
      <c r="S95" s="13">
        <v>-0.148108182496827</v>
      </c>
      <c r="T95" s="13">
        <v>-0.36703278175815401</v>
      </c>
      <c r="U95" s="13">
        <v>-0.38929659262837002</v>
      </c>
      <c r="V95" s="13">
        <v>-0.28499092356439398</v>
      </c>
      <c r="W95" s="13">
        <v>-0.24681938958216601</v>
      </c>
      <c r="X95" s="13">
        <v>-6.2886262400311199E-2</v>
      </c>
    </row>
    <row r="96" spans="1:24" x14ac:dyDescent="0.2">
      <c r="A96" s="10" t="s">
        <v>804</v>
      </c>
      <c r="B96" s="10" t="s">
        <v>805</v>
      </c>
      <c r="C96" s="13">
        <v>7.2924169163734502</v>
      </c>
      <c r="D96" s="13">
        <v>4.7323684496487104</v>
      </c>
      <c r="E96" s="13">
        <v>4.3219632155105199</v>
      </c>
      <c r="F96" s="13">
        <v>4.3548964589586099</v>
      </c>
      <c r="G96" s="13">
        <v>4.2190985606335101</v>
      </c>
      <c r="H96" s="13">
        <v>2.3063656438976801</v>
      </c>
      <c r="I96" s="13" t="s">
        <v>658</v>
      </c>
      <c r="J96" s="13">
        <v>2.7215946360992702</v>
      </c>
      <c r="K96" s="13">
        <v>1.6490441182362801</v>
      </c>
      <c r="L96" s="13">
        <v>1.4570071803453699</v>
      </c>
      <c r="M96" s="13">
        <v>0.614996099794753</v>
      </c>
      <c r="N96" s="13">
        <v>0.68723065521387405</v>
      </c>
      <c r="O96" s="13">
        <v>0.63501058724650306</v>
      </c>
      <c r="P96" s="13">
        <v>0.931292262876667</v>
      </c>
      <c r="Q96" s="13">
        <v>0.80847884276168702</v>
      </c>
      <c r="R96" s="13">
        <v>0.73885727958303504</v>
      </c>
      <c r="S96" s="13">
        <v>0.58808700499191102</v>
      </c>
      <c r="T96" s="13">
        <v>0.84554304422806303</v>
      </c>
      <c r="U96" s="13">
        <v>0.67969946140586002</v>
      </c>
      <c r="V96" s="13">
        <v>0.62830010769975198</v>
      </c>
      <c r="W96" s="13">
        <v>0.56574015554310197</v>
      </c>
      <c r="X96" s="13">
        <v>0.239837463528496</v>
      </c>
    </row>
    <row r="97" spans="1:24" x14ac:dyDescent="0.2">
      <c r="A97" s="10" t="s">
        <v>806</v>
      </c>
      <c r="B97" s="10" t="s">
        <v>807</v>
      </c>
      <c r="C97" s="13">
        <v>0.20177547546669</v>
      </c>
      <c r="D97" s="13">
        <v>0.426052696897669</v>
      </c>
      <c r="E97" s="13">
        <v>0.15284608847616599</v>
      </c>
      <c r="F97" s="13">
        <v>0.21443548376654401</v>
      </c>
      <c r="G97" s="13">
        <v>0.16036402277223</v>
      </c>
      <c r="H97" s="13">
        <v>7.1189843741571196E-2</v>
      </c>
      <c r="I97" s="13">
        <v>0.11031413608909101</v>
      </c>
      <c r="J97" s="13">
        <v>0.129211916614518</v>
      </c>
      <c r="K97" s="13">
        <v>4.4406281383576898E-2</v>
      </c>
      <c r="L97" s="13">
        <v>4.6040656704280598E-2</v>
      </c>
      <c r="M97" s="13">
        <v>4.0526645319697199E-2</v>
      </c>
      <c r="N97" s="13">
        <v>4.3748982903344703E-2</v>
      </c>
      <c r="O97" s="13">
        <v>3.9028942088710598E-2</v>
      </c>
      <c r="P97" s="13">
        <v>4.0822402525174099E-2</v>
      </c>
      <c r="Q97" s="13">
        <v>3.2101258352404197E-2</v>
      </c>
      <c r="R97" s="13">
        <v>3.2770265907151597E-2</v>
      </c>
      <c r="S97" s="13">
        <v>2.3632956910361401E-2</v>
      </c>
      <c r="T97" s="13">
        <v>4.5710807364222401E-2</v>
      </c>
      <c r="U97" s="13">
        <v>3.3452328065737898E-2</v>
      </c>
      <c r="V97" s="13">
        <v>3.84871774860693E-2</v>
      </c>
      <c r="W97" s="13">
        <v>3.3479573008214497E-2</v>
      </c>
      <c r="X97" s="13">
        <v>1.4974469947481001E-2</v>
      </c>
    </row>
    <row r="98" spans="1:24" x14ac:dyDescent="0.2">
      <c r="A98" s="10" t="s">
        <v>808</v>
      </c>
      <c r="B98" s="10" t="s">
        <v>809</v>
      </c>
      <c r="C98" s="13" t="s">
        <v>658</v>
      </c>
      <c r="D98" s="13">
        <v>1027</v>
      </c>
      <c r="E98" s="13" t="s">
        <v>658</v>
      </c>
      <c r="F98" s="13">
        <v>1476</v>
      </c>
      <c r="G98" s="13">
        <v>1440</v>
      </c>
      <c r="H98" s="13">
        <v>2478</v>
      </c>
      <c r="I98" s="13">
        <v>2757</v>
      </c>
      <c r="J98" s="13">
        <v>3130</v>
      </c>
      <c r="K98" s="13">
        <v>4600</v>
      </c>
      <c r="L98" s="13">
        <v>4344</v>
      </c>
      <c r="M98" s="13" t="s">
        <v>658</v>
      </c>
      <c r="N98" s="13" t="s">
        <v>658</v>
      </c>
      <c r="O98" s="13">
        <v>3172</v>
      </c>
      <c r="P98" s="13">
        <v>8700</v>
      </c>
      <c r="Q98" s="13">
        <v>9700</v>
      </c>
      <c r="R98" s="13">
        <v>5159</v>
      </c>
      <c r="S98" s="13">
        <v>5545</v>
      </c>
      <c r="T98" s="13">
        <v>6072</v>
      </c>
      <c r="U98" s="13">
        <v>6459</v>
      </c>
      <c r="V98" s="13">
        <v>6789</v>
      </c>
      <c r="W98" s="13">
        <v>6825</v>
      </c>
      <c r="X98" s="13">
        <v>4962</v>
      </c>
    </row>
    <row r="99" spans="1:24" x14ac:dyDescent="0.2">
      <c r="A99" s="7" t="s">
        <v>112</v>
      </c>
      <c r="B99" s="7"/>
      <c r="C99" s="7" t="s">
        <v>3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95"/>
  <sheetViews>
    <sheetView workbookViewId="0">
      <selection activeCell="A2" sqref="A2:X95"/>
    </sheetView>
  </sheetViews>
  <sheetFormatPr baseColWidth="10" defaultColWidth="8.83203125" defaultRowHeight="15" x14ac:dyDescent="0.2"/>
  <cols>
    <col min="1" max="1" width="35.1640625" customWidth="1"/>
    <col min="2" max="2" width="0" hidden="1" customWidth="1"/>
    <col min="3" max="24" width="11.83203125" customWidth="1"/>
  </cols>
  <sheetData>
    <row r="1" spans="1:2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" x14ac:dyDescent="0.2">
      <c r="A2" s="8" t="s">
        <v>230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">
      <c r="A4" s="3" t="s">
        <v>6</v>
      </c>
      <c r="B4" s="3"/>
      <c r="C4" s="4" t="s">
        <v>114</v>
      </c>
      <c r="D4" s="4" t="s">
        <v>4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</row>
    <row r="5" spans="1:24" x14ac:dyDescent="0.2">
      <c r="A5" s="9" t="s">
        <v>30</v>
      </c>
      <c r="B5" s="9"/>
      <c r="C5" s="5" t="s">
        <v>116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36</v>
      </c>
      <c r="J5" s="5" t="s">
        <v>37</v>
      </c>
      <c r="K5" s="5" t="s">
        <v>38</v>
      </c>
      <c r="L5" s="5" t="s">
        <v>39</v>
      </c>
      <c r="M5" s="5" t="s">
        <v>40</v>
      </c>
      <c r="N5" s="5" t="s">
        <v>41</v>
      </c>
      <c r="O5" s="5" t="s">
        <v>42</v>
      </c>
      <c r="P5" s="5" t="s">
        <v>43</v>
      </c>
      <c r="Q5" s="5" t="s">
        <v>44</v>
      </c>
      <c r="R5" s="5" t="s">
        <v>45</v>
      </c>
      <c r="S5" s="5" t="s">
        <v>46</v>
      </c>
      <c r="T5" s="5" t="s">
        <v>47</v>
      </c>
      <c r="U5" s="5" t="s">
        <v>48</v>
      </c>
      <c r="V5" s="5" t="s">
        <v>49</v>
      </c>
      <c r="W5" s="5" t="s">
        <v>50</v>
      </c>
      <c r="X5" s="5" t="s">
        <v>51</v>
      </c>
    </row>
    <row r="6" spans="1:24" x14ac:dyDescent="0.2">
      <c r="A6" s="6" t="s">
        <v>810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4" x14ac:dyDescent="0.2">
      <c r="A7" s="10" t="s">
        <v>811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 x14ac:dyDescent="0.2">
      <c r="A8" s="10" t="s">
        <v>812</v>
      </c>
      <c r="B8" s="10" t="s">
        <v>813</v>
      </c>
      <c r="C8" s="13" t="s">
        <v>658</v>
      </c>
      <c r="D8" s="13">
        <v>34.005000000000003</v>
      </c>
      <c r="E8" s="13">
        <v>42.018500000000003</v>
      </c>
      <c r="F8" s="13" t="s">
        <v>658</v>
      </c>
      <c r="G8" s="13">
        <v>55.370199999999997</v>
      </c>
      <c r="H8" s="13">
        <v>86.232600000000005</v>
      </c>
      <c r="I8" s="13">
        <v>80.024299999999997</v>
      </c>
      <c r="J8" s="13">
        <v>89.703500000000005</v>
      </c>
      <c r="K8" s="13">
        <v>115.3309</v>
      </c>
      <c r="L8" s="13">
        <v>120.2829</v>
      </c>
      <c r="M8" s="13">
        <v>160.6437</v>
      </c>
      <c r="N8" s="13">
        <v>209.8588</v>
      </c>
      <c r="O8" s="13">
        <v>269.27999999999997</v>
      </c>
      <c r="P8" s="13">
        <v>273.37</v>
      </c>
      <c r="Q8" s="13">
        <v>203.3</v>
      </c>
      <c r="R8" s="13">
        <v>260.35000000000002</v>
      </c>
      <c r="S8" s="13">
        <v>263.91000000000003</v>
      </c>
      <c r="T8" s="13">
        <v>275.32</v>
      </c>
      <c r="U8" s="13">
        <v>333</v>
      </c>
      <c r="V8" s="13">
        <v>349.5</v>
      </c>
      <c r="W8" s="13">
        <v>362.6</v>
      </c>
      <c r="X8" s="13">
        <v>480.4</v>
      </c>
    </row>
    <row r="9" spans="1:24" x14ac:dyDescent="0.2">
      <c r="A9" s="10" t="s">
        <v>814</v>
      </c>
      <c r="B9" s="10" t="s">
        <v>815</v>
      </c>
      <c r="C9" s="13" t="s">
        <v>658</v>
      </c>
      <c r="D9" s="13">
        <v>5.8928000000000003</v>
      </c>
      <c r="E9" s="13" t="s">
        <v>658</v>
      </c>
      <c r="F9" s="13" t="s">
        <v>658</v>
      </c>
      <c r="G9" s="13" t="s">
        <v>658</v>
      </c>
      <c r="H9" s="13" t="s">
        <v>658</v>
      </c>
      <c r="I9" s="13">
        <v>5.4394</v>
      </c>
      <c r="J9" s="13">
        <v>0.32329999999999998</v>
      </c>
      <c r="K9" s="13" t="s">
        <v>658</v>
      </c>
      <c r="L9" s="13" t="s">
        <v>658</v>
      </c>
      <c r="M9" s="13">
        <v>19.334199999999999</v>
      </c>
      <c r="N9" s="13">
        <v>6.718</v>
      </c>
      <c r="O9" s="13">
        <v>0</v>
      </c>
      <c r="P9" s="13">
        <v>147.34</v>
      </c>
      <c r="Q9" s="13">
        <v>-21.02</v>
      </c>
      <c r="R9" s="13">
        <v>101.47</v>
      </c>
      <c r="S9" s="13">
        <v>45.47</v>
      </c>
      <c r="T9" s="13">
        <v>70.290000000000006</v>
      </c>
      <c r="U9" s="13" t="s">
        <v>658</v>
      </c>
      <c r="V9" s="13">
        <v>21.1</v>
      </c>
      <c r="W9" s="13">
        <v>4.4000000000000004</v>
      </c>
      <c r="X9" s="13" t="s">
        <v>658</v>
      </c>
    </row>
    <row r="10" spans="1:24" x14ac:dyDescent="0.2">
      <c r="A10" s="10" t="s">
        <v>816</v>
      </c>
      <c r="B10" s="10" t="s">
        <v>817</v>
      </c>
      <c r="C10" s="13">
        <v>0.63780000000000003</v>
      </c>
      <c r="D10" s="13" t="s">
        <v>658</v>
      </c>
      <c r="E10" s="13" t="s">
        <v>658</v>
      </c>
      <c r="F10" s="13" t="s">
        <v>658</v>
      </c>
      <c r="G10" s="13" t="s">
        <v>658</v>
      </c>
      <c r="H10" s="13" t="s">
        <v>658</v>
      </c>
      <c r="I10" s="13">
        <v>14.7844</v>
      </c>
      <c r="J10" s="13" t="s">
        <v>658</v>
      </c>
      <c r="K10" s="13" t="s">
        <v>658</v>
      </c>
      <c r="L10" s="13">
        <v>12.4582</v>
      </c>
      <c r="M10" s="13">
        <v>2.4769000000000001</v>
      </c>
      <c r="N10" s="13">
        <v>6.9047000000000001</v>
      </c>
      <c r="O10" s="13">
        <v>6.56</v>
      </c>
      <c r="P10" s="13" t="s">
        <v>658</v>
      </c>
      <c r="Q10" s="13" t="s">
        <v>658</v>
      </c>
      <c r="R10" s="13" t="s">
        <v>658</v>
      </c>
      <c r="S10" s="13" t="s">
        <v>658</v>
      </c>
      <c r="T10" s="13" t="s">
        <v>658</v>
      </c>
      <c r="U10" s="13" t="s">
        <v>658</v>
      </c>
      <c r="V10" s="13" t="s">
        <v>658</v>
      </c>
      <c r="W10" s="13" t="s">
        <v>658</v>
      </c>
      <c r="X10" s="13">
        <v>73.5</v>
      </c>
    </row>
    <row r="11" spans="1:24" x14ac:dyDescent="0.2">
      <c r="A11" s="10" t="s">
        <v>818</v>
      </c>
      <c r="B11" s="10" t="s">
        <v>819</v>
      </c>
      <c r="C11" s="13" t="s">
        <v>658</v>
      </c>
      <c r="D11" s="13" t="s">
        <v>658</v>
      </c>
      <c r="E11" s="13" t="s">
        <v>658</v>
      </c>
      <c r="F11" s="13" t="s">
        <v>658</v>
      </c>
      <c r="G11" s="13" t="s">
        <v>658</v>
      </c>
      <c r="H11" s="13" t="s">
        <v>658</v>
      </c>
      <c r="I11" s="13" t="s">
        <v>658</v>
      </c>
      <c r="J11" s="13" t="s">
        <v>658</v>
      </c>
      <c r="K11" s="13" t="s">
        <v>658</v>
      </c>
      <c r="L11" s="13" t="s">
        <v>658</v>
      </c>
      <c r="M11" s="13" t="s">
        <v>658</v>
      </c>
      <c r="N11" s="13" t="s">
        <v>658</v>
      </c>
      <c r="O11" s="13" t="s">
        <v>658</v>
      </c>
      <c r="P11" s="13">
        <v>13.13</v>
      </c>
      <c r="Q11" s="13">
        <v>0</v>
      </c>
      <c r="R11" s="13">
        <v>9.83</v>
      </c>
      <c r="S11" s="13" t="s">
        <v>658</v>
      </c>
      <c r="T11" s="13" t="s">
        <v>658</v>
      </c>
      <c r="U11" s="13" t="s">
        <v>658</v>
      </c>
      <c r="V11" s="13">
        <v>34.5</v>
      </c>
      <c r="W11" s="13">
        <v>34.4</v>
      </c>
      <c r="X11" s="13">
        <v>31.9</v>
      </c>
    </row>
    <row r="12" spans="1:24" x14ac:dyDescent="0.2">
      <c r="A12" s="10" t="s">
        <v>820</v>
      </c>
      <c r="B12" s="10" t="s">
        <v>821</v>
      </c>
      <c r="C12" s="13">
        <v>-0.15029999999999999</v>
      </c>
      <c r="D12" s="13">
        <v>-0.91090000000000004</v>
      </c>
      <c r="E12" s="13">
        <v>6.8446999999999996</v>
      </c>
      <c r="F12" s="13">
        <v>3.5870000000000002</v>
      </c>
      <c r="G12" s="13">
        <v>-1.4359</v>
      </c>
      <c r="H12" s="13">
        <v>11.812099999999999</v>
      </c>
      <c r="I12" s="13">
        <v>1.6485000000000001</v>
      </c>
      <c r="J12" s="13" t="s">
        <v>658</v>
      </c>
      <c r="K12" s="13">
        <v>2.6303999999999998</v>
      </c>
      <c r="L12" s="13">
        <v>2.0337000000000001</v>
      </c>
      <c r="M12" s="13">
        <v>1.9011</v>
      </c>
      <c r="N12" s="13">
        <v>0.67920000000000003</v>
      </c>
      <c r="O12" s="13">
        <v>2.65</v>
      </c>
      <c r="P12" s="13">
        <v>-303.98</v>
      </c>
      <c r="Q12" s="13" t="s">
        <v>658</v>
      </c>
      <c r="R12" s="13" t="s">
        <v>658</v>
      </c>
      <c r="S12" s="13">
        <v>0</v>
      </c>
      <c r="T12" s="13">
        <v>-315.97000000000003</v>
      </c>
      <c r="U12" s="13">
        <v>-88.21</v>
      </c>
      <c r="V12" s="13">
        <v>4.8</v>
      </c>
      <c r="W12" s="13">
        <v>12.1</v>
      </c>
      <c r="X12" s="13">
        <v>-394.3</v>
      </c>
    </row>
    <row r="13" spans="1:24" x14ac:dyDescent="0.2">
      <c r="A13" s="10" t="s">
        <v>822</v>
      </c>
      <c r="B13" s="10" t="s">
        <v>823</v>
      </c>
      <c r="C13" s="13" t="s">
        <v>658</v>
      </c>
      <c r="D13" s="13" t="s">
        <v>658</v>
      </c>
      <c r="E13" s="13" t="s">
        <v>658</v>
      </c>
      <c r="F13" s="13" t="s">
        <v>658</v>
      </c>
      <c r="G13" s="13" t="s">
        <v>658</v>
      </c>
      <c r="H13" s="13" t="s">
        <v>658</v>
      </c>
      <c r="I13" s="13" t="s">
        <v>658</v>
      </c>
      <c r="J13" s="13" t="s">
        <v>658</v>
      </c>
      <c r="K13" s="13" t="s">
        <v>658</v>
      </c>
      <c r="L13" s="13" t="s">
        <v>658</v>
      </c>
      <c r="M13" s="13" t="s">
        <v>658</v>
      </c>
      <c r="N13" s="13" t="s">
        <v>658</v>
      </c>
      <c r="O13" s="13" t="s">
        <v>658</v>
      </c>
      <c r="P13" s="13">
        <v>134.65</v>
      </c>
      <c r="Q13" s="13">
        <v>30.7</v>
      </c>
      <c r="R13" s="13">
        <v>45.38</v>
      </c>
      <c r="S13" s="13">
        <v>147.97</v>
      </c>
      <c r="T13" s="13">
        <v>184.77</v>
      </c>
      <c r="U13" s="13" t="s">
        <v>658</v>
      </c>
      <c r="V13" s="13" t="s">
        <v>658</v>
      </c>
      <c r="W13" s="13" t="s">
        <v>658</v>
      </c>
      <c r="X13" s="13" t="s">
        <v>658</v>
      </c>
    </row>
    <row r="14" spans="1:24" x14ac:dyDescent="0.2">
      <c r="A14" s="10" t="s">
        <v>824</v>
      </c>
      <c r="B14" s="10" t="s">
        <v>825</v>
      </c>
      <c r="C14" s="13">
        <v>-54.715400000000002</v>
      </c>
      <c r="D14" s="13">
        <v>-200.11279999999999</v>
      </c>
      <c r="E14" s="13">
        <v>-30.347899999999999</v>
      </c>
      <c r="F14" s="13">
        <v>10.5341</v>
      </c>
      <c r="G14" s="13">
        <v>-35.160400000000003</v>
      </c>
      <c r="H14" s="13">
        <v>-81.443799999999996</v>
      </c>
      <c r="I14" s="13">
        <v>137.00829999999999</v>
      </c>
      <c r="J14" s="13">
        <v>-71.177199999999999</v>
      </c>
      <c r="K14" s="13">
        <v>-321.94080000000002</v>
      </c>
      <c r="L14" s="13">
        <v>-153.9813</v>
      </c>
      <c r="M14" s="13">
        <v>-953.54579999999999</v>
      </c>
      <c r="N14" s="13">
        <v>-128.3623</v>
      </c>
      <c r="O14" s="13">
        <v>-201.88</v>
      </c>
      <c r="P14" s="13">
        <v>-171.35</v>
      </c>
      <c r="Q14" s="13">
        <v>-426.53</v>
      </c>
      <c r="R14" s="13">
        <v>-522.70000000000005</v>
      </c>
      <c r="S14" s="13">
        <v>-271.97000000000003</v>
      </c>
      <c r="T14" s="13">
        <v>545.09</v>
      </c>
      <c r="U14" s="13" t="s">
        <v>658</v>
      </c>
      <c r="V14" s="13" t="s">
        <v>658</v>
      </c>
      <c r="W14" s="13" t="s">
        <v>658</v>
      </c>
      <c r="X14" s="13" t="s">
        <v>658</v>
      </c>
    </row>
    <row r="15" spans="1:24" x14ac:dyDescent="0.2">
      <c r="A15" s="10" t="s">
        <v>826</v>
      </c>
      <c r="B15" s="10" t="s">
        <v>827</v>
      </c>
      <c r="C15" s="13">
        <v>-48.103499999999997</v>
      </c>
      <c r="D15" s="13">
        <v>0.30840000000000001</v>
      </c>
      <c r="E15" s="13">
        <v>-56.027900000000002</v>
      </c>
      <c r="F15" s="13">
        <v>47.914000000000001</v>
      </c>
      <c r="G15" s="13">
        <v>-73.727199999999996</v>
      </c>
      <c r="H15" s="13" t="s">
        <v>658</v>
      </c>
      <c r="I15" s="13">
        <v>16.1173</v>
      </c>
      <c r="J15" s="13">
        <v>-76.960899999999995</v>
      </c>
      <c r="K15" s="13">
        <v>10.9062</v>
      </c>
      <c r="L15" s="13">
        <v>67.272099999999995</v>
      </c>
      <c r="M15" s="13">
        <v>-122.1818</v>
      </c>
      <c r="N15" s="13">
        <v>141.32169999999999</v>
      </c>
      <c r="O15" s="13" t="s">
        <v>658</v>
      </c>
      <c r="P15" s="13" t="s">
        <v>658</v>
      </c>
      <c r="Q15" s="13" t="s">
        <v>658</v>
      </c>
      <c r="R15" s="13" t="s">
        <v>658</v>
      </c>
      <c r="S15" s="13" t="s">
        <v>658</v>
      </c>
      <c r="T15" s="13" t="s">
        <v>658</v>
      </c>
      <c r="U15" s="13" t="s">
        <v>658</v>
      </c>
      <c r="V15" s="13" t="s">
        <v>658</v>
      </c>
      <c r="W15" s="13" t="s">
        <v>658</v>
      </c>
      <c r="X15" s="13" t="s">
        <v>658</v>
      </c>
    </row>
    <row r="16" spans="1:24" x14ac:dyDescent="0.2">
      <c r="A16" s="10" t="s">
        <v>828</v>
      </c>
      <c r="B16" s="10" t="s">
        <v>829</v>
      </c>
      <c r="C16" s="13">
        <v>24.5671</v>
      </c>
      <c r="D16" s="13">
        <v>-1.0430999999999999</v>
      </c>
      <c r="E16" s="13">
        <v>25.221599999999999</v>
      </c>
      <c r="F16" s="13">
        <v>62.131999999999998</v>
      </c>
      <c r="G16" s="13">
        <v>-42.596899999999998</v>
      </c>
      <c r="H16" s="13" t="s">
        <v>658</v>
      </c>
      <c r="I16" s="13">
        <v>-129.68700000000001</v>
      </c>
      <c r="J16" s="13">
        <v>13.934799999999999</v>
      </c>
      <c r="K16" s="13">
        <v>278.9742</v>
      </c>
      <c r="L16" s="13">
        <v>222.03749999999999</v>
      </c>
      <c r="M16" s="13">
        <v>300.49590000000001</v>
      </c>
      <c r="N16" s="13">
        <v>-131.4008</v>
      </c>
      <c r="O16" s="13" t="s">
        <v>658</v>
      </c>
      <c r="P16" s="13" t="s">
        <v>658</v>
      </c>
      <c r="Q16" s="13" t="s">
        <v>658</v>
      </c>
      <c r="R16" s="13" t="s">
        <v>658</v>
      </c>
      <c r="S16" s="13" t="s">
        <v>658</v>
      </c>
      <c r="T16" s="13" t="s">
        <v>658</v>
      </c>
      <c r="U16" s="13" t="s">
        <v>658</v>
      </c>
      <c r="V16" s="13" t="s">
        <v>658</v>
      </c>
      <c r="W16" s="13" t="s">
        <v>658</v>
      </c>
      <c r="X16" s="13" t="s">
        <v>658</v>
      </c>
    </row>
    <row r="17" spans="1:24" x14ac:dyDescent="0.2">
      <c r="A17" s="10" t="s">
        <v>830</v>
      </c>
      <c r="B17" s="10" t="s">
        <v>831</v>
      </c>
      <c r="C17" s="13" t="s">
        <v>658</v>
      </c>
      <c r="D17" s="13" t="s">
        <v>658</v>
      </c>
      <c r="E17" s="13" t="s">
        <v>658</v>
      </c>
      <c r="F17" s="13" t="s">
        <v>658</v>
      </c>
      <c r="G17" s="13" t="s">
        <v>658</v>
      </c>
      <c r="H17" s="13">
        <v>-257.3066</v>
      </c>
      <c r="I17" s="13" t="s">
        <v>658</v>
      </c>
      <c r="J17" s="13" t="s">
        <v>658</v>
      </c>
      <c r="K17" s="13" t="s">
        <v>658</v>
      </c>
      <c r="L17" s="13" t="s">
        <v>658</v>
      </c>
      <c r="M17" s="13" t="s">
        <v>658</v>
      </c>
      <c r="N17" s="13" t="s">
        <v>658</v>
      </c>
      <c r="O17" s="13">
        <v>10.72</v>
      </c>
      <c r="P17" s="13">
        <v>-97.02</v>
      </c>
      <c r="Q17" s="13">
        <v>-7.39</v>
      </c>
      <c r="R17" s="13">
        <v>15.72</v>
      </c>
      <c r="S17" s="13">
        <v>-8.33</v>
      </c>
      <c r="T17" s="13">
        <v>1.59</v>
      </c>
      <c r="U17" s="13" t="s">
        <v>658</v>
      </c>
      <c r="V17" s="13" t="s">
        <v>658</v>
      </c>
      <c r="W17" s="13" t="s">
        <v>658</v>
      </c>
      <c r="X17" s="13" t="s">
        <v>658</v>
      </c>
    </row>
    <row r="18" spans="1:24" x14ac:dyDescent="0.2">
      <c r="A18" s="10" t="s">
        <v>832</v>
      </c>
      <c r="B18" s="10" t="s">
        <v>833</v>
      </c>
      <c r="C18" s="13" t="s">
        <v>658</v>
      </c>
      <c r="D18" s="13" t="s">
        <v>658</v>
      </c>
      <c r="E18" s="13" t="s">
        <v>658</v>
      </c>
      <c r="F18" s="13" t="s">
        <v>658</v>
      </c>
      <c r="G18" s="13" t="s">
        <v>658</v>
      </c>
      <c r="H18" s="13">
        <v>155.9975</v>
      </c>
      <c r="I18" s="13" t="s">
        <v>658</v>
      </c>
      <c r="J18" s="13" t="s">
        <v>658</v>
      </c>
      <c r="K18" s="13" t="s">
        <v>658</v>
      </c>
      <c r="L18" s="13" t="s">
        <v>658</v>
      </c>
      <c r="M18" s="13" t="s">
        <v>658</v>
      </c>
      <c r="N18" s="13" t="s">
        <v>658</v>
      </c>
      <c r="O18" s="13">
        <v>196.55</v>
      </c>
      <c r="P18" s="13" t="s">
        <v>658</v>
      </c>
      <c r="Q18" s="13" t="s">
        <v>658</v>
      </c>
      <c r="R18" s="13" t="s">
        <v>658</v>
      </c>
      <c r="S18" s="13" t="s">
        <v>658</v>
      </c>
      <c r="T18" s="13" t="s">
        <v>658</v>
      </c>
      <c r="U18" s="13" t="s">
        <v>658</v>
      </c>
      <c r="V18" s="13" t="s">
        <v>658</v>
      </c>
      <c r="W18" s="13" t="s">
        <v>658</v>
      </c>
      <c r="X18" s="13" t="s">
        <v>658</v>
      </c>
    </row>
    <row r="19" spans="1:24" x14ac:dyDescent="0.2">
      <c r="A19" s="10" t="s">
        <v>834</v>
      </c>
      <c r="B19" s="10" t="s">
        <v>835</v>
      </c>
      <c r="C19" s="13">
        <v>-7.3781999999999996</v>
      </c>
      <c r="D19" s="13">
        <v>-8.5018999999999991</v>
      </c>
      <c r="E19" s="13">
        <v>-10.7468</v>
      </c>
      <c r="F19" s="13">
        <v>-15.331899999999999</v>
      </c>
      <c r="G19" s="13">
        <v>-6.6862000000000004</v>
      </c>
      <c r="H19" s="13">
        <v>-63.911200000000001</v>
      </c>
      <c r="I19" s="13">
        <v>-50.503399999999999</v>
      </c>
      <c r="J19" s="13">
        <v>-21.6844</v>
      </c>
      <c r="K19" s="13">
        <v>-90.115600000000001</v>
      </c>
      <c r="L19" s="13">
        <v>-117.7818</v>
      </c>
      <c r="M19" s="13">
        <v>-155.28989999999999</v>
      </c>
      <c r="N19" s="13">
        <v>-244.10239999999999</v>
      </c>
      <c r="O19" s="13">
        <v>-152.91</v>
      </c>
      <c r="P19" s="13" t="s">
        <v>658</v>
      </c>
      <c r="Q19" s="13" t="s">
        <v>658</v>
      </c>
      <c r="R19" s="13" t="s">
        <v>658</v>
      </c>
      <c r="S19" s="13" t="s">
        <v>658</v>
      </c>
      <c r="T19" s="13" t="s">
        <v>658</v>
      </c>
      <c r="U19" s="13" t="s">
        <v>658</v>
      </c>
      <c r="V19" s="13" t="s">
        <v>658</v>
      </c>
      <c r="W19" s="13" t="s">
        <v>658</v>
      </c>
      <c r="X19" s="13" t="s">
        <v>658</v>
      </c>
    </row>
    <row r="20" spans="1:24" x14ac:dyDescent="0.2">
      <c r="A20" s="10" t="s">
        <v>836</v>
      </c>
      <c r="B20" s="10" t="s">
        <v>837</v>
      </c>
      <c r="C20" s="13" t="s">
        <v>658</v>
      </c>
      <c r="D20" s="13" t="s">
        <v>658</v>
      </c>
      <c r="E20" s="13" t="s">
        <v>658</v>
      </c>
      <c r="F20" s="13" t="s">
        <v>658</v>
      </c>
      <c r="G20" s="13" t="s">
        <v>658</v>
      </c>
      <c r="H20" s="13" t="s">
        <v>658</v>
      </c>
      <c r="I20" s="13" t="s">
        <v>658</v>
      </c>
      <c r="J20" s="13" t="s">
        <v>658</v>
      </c>
      <c r="K20" s="13" t="s">
        <v>658</v>
      </c>
      <c r="L20" s="13" t="s">
        <v>658</v>
      </c>
      <c r="M20" s="13" t="s">
        <v>658</v>
      </c>
      <c r="N20" s="13" t="s">
        <v>658</v>
      </c>
      <c r="O20" s="13">
        <v>12.66</v>
      </c>
      <c r="P20" s="13" t="s">
        <v>658</v>
      </c>
      <c r="Q20" s="13" t="s">
        <v>658</v>
      </c>
      <c r="R20" s="13" t="s">
        <v>658</v>
      </c>
      <c r="S20" s="13" t="s">
        <v>658</v>
      </c>
      <c r="T20" s="13" t="s">
        <v>658</v>
      </c>
      <c r="U20" s="13" t="s">
        <v>658</v>
      </c>
      <c r="V20" s="13" t="s">
        <v>658</v>
      </c>
      <c r="W20" s="13" t="s">
        <v>658</v>
      </c>
      <c r="X20" s="13" t="s">
        <v>658</v>
      </c>
    </row>
    <row r="21" spans="1:24" x14ac:dyDescent="0.2">
      <c r="A21" s="10" t="s">
        <v>838</v>
      </c>
      <c r="B21" s="10" t="s">
        <v>839</v>
      </c>
      <c r="C21" s="13" t="s">
        <v>658</v>
      </c>
      <c r="D21" s="13" t="s">
        <v>658</v>
      </c>
      <c r="E21" s="13" t="s">
        <v>658</v>
      </c>
      <c r="F21" s="13" t="s">
        <v>658</v>
      </c>
      <c r="G21" s="13" t="s">
        <v>658</v>
      </c>
      <c r="H21" s="13" t="s">
        <v>658</v>
      </c>
      <c r="I21" s="13" t="s">
        <v>658</v>
      </c>
      <c r="J21" s="13" t="s">
        <v>658</v>
      </c>
      <c r="K21" s="13" t="s">
        <v>658</v>
      </c>
      <c r="L21" s="13" t="s">
        <v>658</v>
      </c>
      <c r="M21" s="13" t="s">
        <v>658</v>
      </c>
      <c r="N21" s="13" t="s">
        <v>658</v>
      </c>
      <c r="O21" s="13" t="s">
        <v>658</v>
      </c>
      <c r="P21" s="13" t="s">
        <v>658</v>
      </c>
      <c r="Q21" s="13">
        <v>116.64</v>
      </c>
      <c r="R21" s="13">
        <v>-100.28</v>
      </c>
      <c r="S21" s="13" t="s">
        <v>658</v>
      </c>
      <c r="T21" s="13" t="s">
        <v>658</v>
      </c>
      <c r="U21" s="13" t="s">
        <v>658</v>
      </c>
      <c r="V21" s="13" t="s">
        <v>658</v>
      </c>
      <c r="W21" s="13" t="s">
        <v>658</v>
      </c>
      <c r="X21" s="13" t="s">
        <v>658</v>
      </c>
    </row>
    <row r="22" spans="1:24" x14ac:dyDescent="0.2">
      <c r="A22" s="10" t="s">
        <v>840</v>
      </c>
      <c r="B22" s="10" t="s">
        <v>841</v>
      </c>
      <c r="C22" s="13" t="s">
        <v>658</v>
      </c>
      <c r="D22" s="13" t="s">
        <v>658</v>
      </c>
      <c r="E22" s="13" t="s">
        <v>658</v>
      </c>
      <c r="F22" s="13" t="s">
        <v>658</v>
      </c>
      <c r="G22" s="13" t="s">
        <v>658</v>
      </c>
      <c r="H22" s="13" t="s">
        <v>658</v>
      </c>
      <c r="I22" s="13" t="s">
        <v>658</v>
      </c>
      <c r="J22" s="13" t="s">
        <v>658</v>
      </c>
      <c r="K22" s="13" t="s">
        <v>658</v>
      </c>
      <c r="L22" s="13" t="s">
        <v>658</v>
      </c>
      <c r="M22" s="13" t="s">
        <v>658</v>
      </c>
      <c r="N22" s="13" t="s">
        <v>658</v>
      </c>
      <c r="O22" s="13" t="s">
        <v>658</v>
      </c>
      <c r="P22" s="13" t="s">
        <v>658</v>
      </c>
      <c r="Q22" s="13">
        <v>29.6</v>
      </c>
      <c r="R22" s="13">
        <v>179.65</v>
      </c>
      <c r="S22" s="13" t="s">
        <v>658</v>
      </c>
      <c r="T22" s="13" t="s">
        <v>658</v>
      </c>
      <c r="U22" s="13" t="s">
        <v>658</v>
      </c>
      <c r="V22" s="13" t="s">
        <v>658</v>
      </c>
      <c r="W22" s="13" t="s">
        <v>658</v>
      </c>
      <c r="X22" s="13" t="s">
        <v>658</v>
      </c>
    </row>
    <row r="23" spans="1:24" x14ac:dyDescent="0.2">
      <c r="A23" s="10" t="s">
        <v>842</v>
      </c>
      <c r="B23" s="10" t="s">
        <v>843</v>
      </c>
      <c r="C23" s="13">
        <v>205.05449999999999</v>
      </c>
      <c r="D23" s="13">
        <v>33.535299999999999</v>
      </c>
      <c r="E23" s="13">
        <v>70.111599999999996</v>
      </c>
      <c r="F23" s="13">
        <v>251.5763</v>
      </c>
      <c r="G23" s="13">
        <v>-50.998699999999999</v>
      </c>
      <c r="H23" s="13">
        <v>87.139099999999999</v>
      </c>
      <c r="I23" s="13">
        <v>212.77789999999999</v>
      </c>
      <c r="J23" s="13">
        <v>20.136800000000001</v>
      </c>
      <c r="K23" s="13">
        <v>316.37549999999999</v>
      </c>
      <c r="L23" s="13">
        <v>497.93549999999999</v>
      </c>
      <c r="M23" s="13">
        <v>77.426900000000003</v>
      </c>
      <c r="N23" s="13">
        <v>578.13909999999998</v>
      </c>
      <c r="O23" s="13">
        <v>732.77</v>
      </c>
      <c r="P23" s="13">
        <v>831.05</v>
      </c>
      <c r="Q23" s="13">
        <v>527.63</v>
      </c>
      <c r="R23" s="13">
        <v>896.07</v>
      </c>
      <c r="S23" s="13">
        <v>834.81</v>
      </c>
      <c r="T23" s="13">
        <v>1017.75</v>
      </c>
      <c r="U23" s="13">
        <v>1823.91</v>
      </c>
      <c r="V23" s="13">
        <v>1307.0999999999999</v>
      </c>
      <c r="W23" s="13">
        <v>1838.7</v>
      </c>
      <c r="X23" s="13">
        <v>2237.1999999999998</v>
      </c>
    </row>
    <row r="24" spans="1:24" x14ac:dyDescent="0.2">
      <c r="A24" s="10" t="s">
        <v>844</v>
      </c>
      <c r="B24" s="10" t="s">
        <v>845</v>
      </c>
      <c r="C24" s="13" t="s">
        <v>658</v>
      </c>
      <c r="D24" s="13" t="s">
        <v>658</v>
      </c>
      <c r="E24" s="13" t="s">
        <v>658</v>
      </c>
      <c r="F24" s="13" t="s">
        <v>658</v>
      </c>
      <c r="G24" s="13" t="s">
        <v>658</v>
      </c>
      <c r="H24" s="13" t="s">
        <v>658</v>
      </c>
      <c r="I24" s="13" t="s">
        <v>658</v>
      </c>
      <c r="J24" s="13" t="s">
        <v>658</v>
      </c>
      <c r="K24" s="13" t="s">
        <v>658</v>
      </c>
      <c r="L24" s="13" t="s">
        <v>658</v>
      </c>
      <c r="M24" s="13" t="s">
        <v>658</v>
      </c>
      <c r="N24" s="13" t="s">
        <v>658</v>
      </c>
      <c r="O24" s="13" t="s">
        <v>658</v>
      </c>
      <c r="P24" s="13" t="s">
        <v>658</v>
      </c>
      <c r="Q24" s="13" t="s">
        <v>658</v>
      </c>
      <c r="R24" s="13" t="s">
        <v>658</v>
      </c>
      <c r="S24" s="13" t="s">
        <v>658</v>
      </c>
      <c r="T24" s="13" t="s">
        <v>658</v>
      </c>
      <c r="U24" s="13">
        <v>2.1800000000000002</v>
      </c>
      <c r="V24" s="13">
        <v>0.3</v>
      </c>
      <c r="W24" s="13">
        <v>0.8</v>
      </c>
      <c r="X24" s="13">
        <v>1</v>
      </c>
    </row>
    <row r="25" spans="1:24" x14ac:dyDescent="0.2">
      <c r="A25" s="10" t="s">
        <v>846</v>
      </c>
      <c r="B25" s="10" t="s">
        <v>847</v>
      </c>
      <c r="C25" s="13">
        <v>0.77829999999999999</v>
      </c>
      <c r="D25" s="13">
        <v>0.61150000000000004</v>
      </c>
      <c r="E25" s="13" t="s">
        <v>658</v>
      </c>
      <c r="F25" s="13">
        <v>3.2856999999999998</v>
      </c>
      <c r="G25" s="13">
        <v>3.2248000000000001</v>
      </c>
      <c r="H25" s="13">
        <v>1.0024</v>
      </c>
      <c r="I25" s="13" t="s">
        <v>658</v>
      </c>
      <c r="J25" s="13">
        <v>-0.6734</v>
      </c>
      <c r="K25" s="13">
        <v>28.444700000000001</v>
      </c>
      <c r="L25" s="13" t="s">
        <v>658</v>
      </c>
      <c r="M25" s="13" t="s">
        <v>658</v>
      </c>
      <c r="N25" s="13" t="s">
        <v>658</v>
      </c>
      <c r="O25" s="13" t="s">
        <v>658</v>
      </c>
      <c r="P25" s="13" t="s">
        <v>658</v>
      </c>
      <c r="Q25" s="13" t="s">
        <v>658</v>
      </c>
      <c r="R25" s="13" t="s">
        <v>658</v>
      </c>
      <c r="S25" s="13" t="s">
        <v>658</v>
      </c>
      <c r="T25" s="13" t="s">
        <v>658</v>
      </c>
      <c r="U25" s="13">
        <v>2.12</v>
      </c>
      <c r="V25" s="13" t="s">
        <v>658</v>
      </c>
      <c r="W25" s="13">
        <v>-2.1</v>
      </c>
      <c r="X25" s="13">
        <v>1.7</v>
      </c>
    </row>
    <row r="26" spans="1:24" x14ac:dyDescent="0.2">
      <c r="A26" s="10" t="s">
        <v>848</v>
      </c>
      <c r="B26" s="10" t="s">
        <v>849</v>
      </c>
      <c r="C26" s="13">
        <v>-6.8125999999999998</v>
      </c>
      <c r="D26" s="13">
        <v>-13.944900000000001</v>
      </c>
      <c r="E26" s="13">
        <v>-80.87</v>
      </c>
      <c r="F26" s="13">
        <v>-8.1311999999999998</v>
      </c>
      <c r="G26" s="13">
        <v>-59.518700000000003</v>
      </c>
      <c r="H26" s="13">
        <v>-61.691899999999997</v>
      </c>
      <c r="I26" s="13">
        <v>-37.000599999999999</v>
      </c>
      <c r="J26" s="13">
        <v>-30.4483</v>
      </c>
      <c r="K26" s="13">
        <v>-33.945900000000002</v>
      </c>
      <c r="L26" s="13">
        <v>-30.3126</v>
      </c>
      <c r="M26" s="13">
        <v>-27.352900000000002</v>
      </c>
      <c r="N26" s="13">
        <v>-26.413799999999998</v>
      </c>
      <c r="O26" s="13">
        <v>-60.14</v>
      </c>
      <c r="P26" s="13">
        <v>-67.7</v>
      </c>
      <c r="Q26" s="13">
        <v>-36.25</v>
      </c>
      <c r="R26" s="13">
        <v>-18.27</v>
      </c>
      <c r="S26" s="13">
        <v>-21.78</v>
      </c>
      <c r="T26" s="13">
        <v>-57.54</v>
      </c>
      <c r="U26" s="13">
        <v>-51.16</v>
      </c>
      <c r="V26" s="13">
        <v>-97.1</v>
      </c>
      <c r="W26" s="13">
        <v>-230.1</v>
      </c>
      <c r="X26" s="13">
        <v>-210.8</v>
      </c>
    </row>
    <row r="27" spans="1:24" x14ac:dyDescent="0.2">
      <c r="A27" s="10" t="s">
        <v>850</v>
      </c>
      <c r="B27" s="10" t="s">
        <v>851</v>
      </c>
      <c r="C27" s="13">
        <v>-0.68530000000000002</v>
      </c>
      <c r="D27" s="13">
        <v>0.44169999999999998</v>
      </c>
      <c r="E27" s="13">
        <v>-0.36170000000000002</v>
      </c>
      <c r="F27" s="13">
        <v>1.9124000000000001</v>
      </c>
      <c r="G27" s="13">
        <v>-1.25</v>
      </c>
      <c r="H27" s="13">
        <v>-0.04</v>
      </c>
      <c r="I27" s="13">
        <v>-2.8506</v>
      </c>
      <c r="J27" s="13">
        <v>2.2044000000000001</v>
      </c>
      <c r="K27" s="13">
        <v>-10.1691</v>
      </c>
      <c r="L27" s="13">
        <v>2.2303999999999999</v>
      </c>
      <c r="M27" s="13">
        <v>4.5048000000000004</v>
      </c>
      <c r="N27" s="13">
        <v>8.7865000000000002</v>
      </c>
      <c r="O27" s="13">
        <v>62.77</v>
      </c>
      <c r="P27" s="13" t="s">
        <v>658</v>
      </c>
      <c r="Q27" s="13">
        <v>-8.08</v>
      </c>
      <c r="R27" s="13">
        <v>-6.55</v>
      </c>
      <c r="S27" s="13">
        <v>-12.37</v>
      </c>
      <c r="T27" s="13">
        <v>-87.25</v>
      </c>
      <c r="U27" s="13">
        <v>25.91</v>
      </c>
      <c r="V27" s="13">
        <v>85.3</v>
      </c>
      <c r="W27" s="13">
        <v>97</v>
      </c>
      <c r="X27" s="13">
        <v>-48.1</v>
      </c>
    </row>
    <row r="28" spans="1:24" x14ac:dyDescent="0.2">
      <c r="A28" s="10" t="s">
        <v>852</v>
      </c>
      <c r="B28" s="10" t="s">
        <v>853</v>
      </c>
      <c r="C28" s="13">
        <v>291.37580000000003</v>
      </c>
      <c r="D28" s="13">
        <v>246.82239999999999</v>
      </c>
      <c r="E28" s="13">
        <v>141.70910000000001</v>
      </c>
      <c r="F28" s="13">
        <v>146.81</v>
      </c>
      <c r="G28" s="13">
        <v>99.681899999999999</v>
      </c>
      <c r="H28" s="13">
        <v>333.8032</v>
      </c>
      <c r="I28" s="13">
        <v>239.84280000000001</v>
      </c>
      <c r="J28" s="13">
        <v>176.02449999999999</v>
      </c>
      <c r="K28" s="13">
        <v>438.55160000000001</v>
      </c>
      <c r="L28" s="13">
        <v>480.38889999999998</v>
      </c>
      <c r="M28" s="13">
        <v>1007.9486000000001</v>
      </c>
      <c r="N28" s="13">
        <v>940.68290000000002</v>
      </c>
      <c r="O28" s="13">
        <v>880.29</v>
      </c>
      <c r="P28" s="13">
        <v>1086.3</v>
      </c>
      <c r="Q28" s="13">
        <v>989.13</v>
      </c>
      <c r="R28" s="13">
        <v>1513.66</v>
      </c>
      <c r="S28" s="13">
        <v>1284.73</v>
      </c>
      <c r="T28" s="13">
        <v>1350.18</v>
      </c>
      <c r="U28" s="13">
        <v>2136.98</v>
      </c>
      <c r="V28" s="13">
        <v>2719.2</v>
      </c>
      <c r="W28" s="13">
        <v>2594.5</v>
      </c>
      <c r="X28" s="13">
        <v>2314.4</v>
      </c>
    </row>
    <row r="29" spans="1:24" x14ac:dyDescent="0.2">
      <c r="A29" s="10" t="s">
        <v>854</v>
      </c>
      <c r="B29" s="10" t="s">
        <v>855</v>
      </c>
      <c r="C29" s="13" t="s">
        <v>658</v>
      </c>
      <c r="D29" s="13" t="s">
        <v>658</v>
      </c>
      <c r="E29" s="13" t="s">
        <v>658</v>
      </c>
      <c r="F29" s="13" t="s">
        <v>658</v>
      </c>
      <c r="G29" s="13" t="s">
        <v>658</v>
      </c>
      <c r="H29" s="13" t="s">
        <v>658</v>
      </c>
      <c r="I29" s="13" t="s">
        <v>658</v>
      </c>
      <c r="J29" s="13" t="s">
        <v>658</v>
      </c>
      <c r="K29" s="13" t="s">
        <v>658</v>
      </c>
      <c r="L29" s="13" t="s">
        <v>658</v>
      </c>
      <c r="M29" s="13">
        <v>49.528100000000002</v>
      </c>
      <c r="N29" s="13">
        <v>45.236800000000002</v>
      </c>
      <c r="O29" s="13" t="s">
        <v>658</v>
      </c>
      <c r="P29" s="13">
        <v>-2.23</v>
      </c>
      <c r="Q29" s="13">
        <v>-0.3</v>
      </c>
      <c r="R29" s="13">
        <v>-11.4</v>
      </c>
      <c r="S29" s="13">
        <v>-10.119999999999999</v>
      </c>
      <c r="T29" s="13">
        <v>-9.69</v>
      </c>
      <c r="U29" s="13" t="s">
        <v>658</v>
      </c>
      <c r="V29" s="13">
        <v>-2.7</v>
      </c>
      <c r="W29" s="13" t="s">
        <v>658</v>
      </c>
      <c r="X29" s="13" t="s">
        <v>658</v>
      </c>
    </row>
    <row r="30" spans="1:24" x14ac:dyDescent="0.2">
      <c r="A30" s="10" t="s">
        <v>856</v>
      </c>
      <c r="B30" s="10" t="s">
        <v>857</v>
      </c>
      <c r="C30" s="13">
        <v>0.5222</v>
      </c>
      <c r="D30" s="13">
        <v>0.2276</v>
      </c>
      <c r="E30" s="13">
        <v>0.66590000000000005</v>
      </c>
      <c r="F30" s="13">
        <v>0.7369</v>
      </c>
      <c r="G30" s="13">
        <v>0.84570000000000001</v>
      </c>
      <c r="H30" s="13">
        <v>8.5999999999999993E-2</v>
      </c>
      <c r="I30" s="13">
        <v>1.6520999999999999</v>
      </c>
      <c r="J30" s="13">
        <v>0.43430000000000002</v>
      </c>
      <c r="K30" s="13">
        <v>0.80840000000000001</v>
      </c>
      <c r="L30" s="13">
        <v>0.57169999999999999</v>
      </c>
      <c r="M30" s="13">
        <v>6.4573999999999998</v>
      </c>
      <c r="N30" s="13">
        <v>4.7359</v>
      </c>
      <c r="O30" s="13">
        <v>3.73</v>
      </c>
      <c r="P30" s="13">
        <v>12.17</v>
      </c>
      <c r="Q30" s="13">
        <v>-0.94</v>
      </c>
      <c r="R30" s="13">
        <v>0.9</v>
      </c>
      <c r="S30" s="13">
        <v>-0.82</v>
      </c>
      <c r="T30" s="13">
        <v>-1.17</v>
      </c>
      <c r="U30" s="13">
        <v>-1.58</v>
      </c>
      <c r="V30" s="13">
        <v>-7.9</v>
      </c>
      <c r="W30" s="13">
        <v>-19.8</v>
      </c>
      <c r="X30" s="13" t="s">
        <v>658</v>
      </c>
    </row>
    <row r="31" spans="1:24" x14ac:dyDescent="0.2">
      <c r="A31" s="10" t="s">
        <v>858</v>
      </c>
      <c r="B31" s="10" t="s">
        <v>859</v>
      </c>
      <c r="C31" s="13" t="s">
        <v>658</v>
      </c>
      <c r="D31" s="13" t="s">
        <v>658</v>
      </c>
      <c r="E31" s="13" t="s">
        <v>658</v>
      </c>
      <c r="F31" s="13" t="s">
        <v>658</v>
      </c>
      <c r="G31" s="13" t="s">
        <v>658</v>
      </c>
      <c r="H31" s="13" t="s">
        <v>658</v>
      </c>
      <c r="I31" s="13" t="s">
        <v>658</v>
      </c>
      <c r="J31" s="13" t="s">
        <v>658</v>
      </c>
      <c r="K31" s="13" t="s">
        <v>658</v>
      </c>
      <c r="L31" s="13" t="s">
        <v>658</v>
      </c>
      <c r="M31" s="13" t="s">
        <v>658</v>
      </c>
      <c r="N31" s="13" t="s">
        <v>658</v>
      </c>
      <c r="O31" s="13" t="s">
        <v>658</v>
      </c>
      <c r="P31" s="13" t="s">
        <v>658</v>
      </c>
      <c r="Q31" s="13" t="s">
        <v>658</v>
      </c>
      <c r="R31" s="13" t="s">
        <v>658</v>
      </c>
      <c r="S31" s="13" t="s">
        <v>658</v>
      </c>
      <c r="T31" s="13" t="s">
        <v>658</v>
      </c>
      <c r="U31" s="13">
        <v>102.01</v>
      </c>
      <c r="V31" s="13">
        <v>152</v>
      </c>
      <c r="W31" s="13">
        <v>-126.8</v>
      </c>
      <c r="X31" s="13">
        <v>351.4</v>
      </c>
    </row>
    <row r="32" spans="1:24" x14ac:dyDescent="0.2">
      <c r="A32" s="10" t="s">
        <v>860</v>
      </c>
      <c r="B32" s="10" t="s">
        <v>861</v>
      </c>
      <c r="C32" s="13">
        <v>-21.101900000000001</v>
      </c>
      <c r="D32" s="13">
        <v>-29.028700000000001</v>
      </c>
      <c r="E32" s="13">
        <v>-35.929900000000004</v>
      </c>
      <c r="F32" s="13">
        <v>-45.243099999999998</v>
      </c>
      <c r="G32" s="13">
        <v>-10.4693</v>
      </c>
      <c r="H32" s="13" t="s">
        <v>658</v>
      </c>
      <c r="I32" s="13">
        <v>-0.84470000000000001</v>
      </c>
      <c r="J32" s="13">
        <v>-34.053100000000001</v>
      </c>
      <c r="K32" s="13">
        <v>-5.6645000000000003</v>
      </c>
      <c r="L32" s="13">
        <v>-8.5314999999999994</v>
      </c>
      <c r="M32" s="13">
        <v>-15.8916</v>
      </c>
      <c r="N32" s="13">
        <v>-18.825399999999998</v>
      </c>
      <c r="O32" s="13" t="s">
        <v>658</v>
      </c>
      <c r="P32" s="13" t="s">
        <v>658</v>
      </c>
      <c r="Q32" s="13" t="s">
        <v>658</v>
      </c>
      <c r="R32" s="13" t="s">
        <v>658</v>
      </c>
      <c r="S32" s="13" t="s">
        <v>658</v>
      </c>
      <c r="T32" s="13" t="s">
        <v>658</v>
      </c>
      <c r="U32" s="13" t="s">
        <v>658</v>
      </c>
      <c r="V32" s="13" t="s">
        <v>658</v>
      </c>
      <c r="W32" s="13" t="s">
        <v>658</v>
      </c>
      <c r="X32" s="13" t="s">
        <v>658</v>
      </c>
    </row>
    <row r="33" spans="1:24" x14ac:dyDescent="0.2">
      <c r="A33" s="10" t="s">
        <v>862</v>
      </c>
      <c r="B33" s="10" t="s">
        <v>863</v>
      </c>
      <c r="C33" s="13" t="s">
        <v>658</v>
      </c>
      <c r="D33" s="13" t="s">
        <v>658</v>
      </c>
      <c r="E33" s="13" t="s">
        <v>658</v>
      </c>
      <c r="F33" s="13" t="s">
        <v>658</v>
      </c>
      <c r="G33" s="13" t="s">
        <v>658</v>
      </c>
      <c r="H33" s="13">
        <v>0.41399999999999998</v>
      </c>
      <c r="I33" s="13">
        <v>-1.8505</v>
      </c>
      <c r="J33" s="13" t="s">
        <v>658</v>
      </c>
      <c r="K33" s="13" t="s">
        <v>658</v>
      </c>
      <c r="L33" s="13" t="s">
        <v>658</v>
      </c>
      <c r="M33" s="13">
        <v>7.1571999999999996</v>
      </c>
      <c r="N33" s="13">
        <v>5.7195</v>
      </c>
      <c r="O33" s="13">
        <v>5.85</v>
      </c>
      <c r="P33" s="13">
        <v>33.26</v>
      </c>
      <c r="Q33" s="13" t="s">
        <v>658</v>
      </c>
      <c r="R33" s="13" t="s">
        <v>658</v>
      </c>
      <c r="S33" s="13" t="s">
        <v>658</v>
      </c>
      <c r="T33" s="13" t="s">
        <v>658</v>
      </c>
      <c r="U33" s="13">
        <v>33.46</v>
      </c>
      <c r="V33" s="13" t="s">
        <v>658</v>
      </c>
      <c r="W33" s="13">
        <v>0</v>
      </c>
      <c r="X33" s="13">
        <v>-0.3</v>
      </c>
    </row>
    <row r="34" spans="1:24" x14ac:dyDescent="0.2">
      <c r="A34" s="10" t="s">
        <v>864</v>
      </c>
      <c r="B34" s="10" t="s">
        <v>865</v>
      </c>
      <c r="C34" s="13" t="s">
        <v>658</v>
      </c>
      <c r="D34" s="13" t="s">
        <v>658</v>
      </c>
      <c r="E34" s="13" t="s">
        <v>658</v>
      </c>
      <c r="F34" s="13" t="s">
        <v>658</v>
      </c>
      <c r="G34" s="13" t="s">
        <v>658</v>
      </c>
      <c r="H34" s="13" t="s">
        <v>658</v>
      </c>
      <c r="I34" s="13" t="s">
        <v>658</v>
      </c>
      <c r="J34" s="13" t="s">
        <v>658</v>
      </c>
      <c r="K34" s="13" t="s">
        <v>658</v>
      </c>
      <c r="L34" s="13" t="s">
        <v>658</v>
      </c>
      <c r="M34" s="13" t="s">
        <v>658</v>
      </c>
      <c r="N34" s="13" t="s">
        <v>658</v>
      </c>
      <c r="O34" s="13" t="s">
        <v>658</v>
      </c>
      <c r="P34" s="13" t="s">
        <v>658</v>
      </c>
      <c r="Q34" s="13" t="s">
        <v>658</v>
      </c>
      <c r="R34" s="13">
        <v>0</v>
      </c>
      <c r="S34" s="13">
        <v>157.72</v>
      </c>
      <c r="T34" s="13">
        <v>365.89</v>
      </c>
      <c r="U34" s="13">
        <v>15</v>
      </c>
      <c r="V34" s="13" t="s">
        <v>658</v>
      </c>
      <c r="W34" s="13" t="s">
        <v>658</v>
      </c>
      <c r="X34" s="13" t="s">
        <v>658</v>
      </c>
    </row>
    <row r="35" spans="1:24" x14ac:dyDescent="0.2">
      <c r="A35" s="10" t="s">
        <v>866</v>
      </c>
      <c r="B35" s="10" t="s">
        <v>867</v>
      </c>
      <c r="C35" s="13">
        <v>6.8352000000000004</v>
      </c>
      <c r="D35" s="13">
        <v>1.2789999999999999</v>
      </c>
      <c r="E35" s="13" t="s">
        <v>658</v>
      </c>
      <c r="F35" s="13" t="s">
        <v>658</v>
      </c>
      <c r="G35" s="13" t="s">
        <v>658</v>
      </c>
      <c r="H35" s="13">
        <v>7.3590999999999998</v>
      </c>
      <c r="I35" s="13">
        <v>2.7263999999999999</v>
      </c>
      <c r="J35" s="13">
        <v>2.8351000000000002</v>
      </c>
      <c r="K35" s="13">
        <v>16.135000000000002</v>
      </c>
      <c r="L35" s="13">
        <v>16.310600000000001</v>
      </c>
      <c r="M35" s="13">
        <v>39.8371</v>
      </c>
      <c r="N35" s="13">
        <v>67.536900000000003</v>
      </c>
      <c r="O35" s="13">
        <v>66.61</v>
      </c>
      <c r="P35" s="13" t="s">
        <v>658</v>
      </c>
      <c r="Q35" s="13" t="s">
        <v>658</v>
      </c>
      <c r="R35" s="13" t="s">
        <v>658</v>
      </c>
      <c r="S35" s="13" t="s">
        <v>658</v>
      </c>
      <c r="T35" s="13" t="s">
        <v>658</v>
      </c>
      <c r="U35" s="13">
        <v>24.82</v>
      </c>
      <c r="V35" s="13">
        <v>24.3</v>
      </c>
      <c r="W35" s="13">
        <v>15.1</v>
      </c>
      <c r="X35" s="13">
        <v>94.1</v>
      </c>
    </row>
    <row r="36" spans="1:24" x14ac:dyDescent="0.2">
      <c r="A36" s="10" t="s">
        <v>868</v>
      </c>
      <c r="B36" s="10" t="s">
        <v>869</v>
      </c>
      <c r="C36" s="13">
        <v>-3.6591</v>
      </c>
      <c r="D36" s="13">
        <v>-5.6538000000000004</v>
      </c>
      <c r="E36" s="13">
        <v>-7.7611999999999997</v>
      </c>
      <c r="F36" s="13">
        <v>-4.4301000000000004</v>
      </c>
      <c r="G36" s="13">
        <v>-12.728199999999999</v>
      </c>
      <c r="H36" s="13">
        <v>-39.848599999999998</v>
      </c>
      <c r="I36" s="13">
        <v>-87.565399999999997</v>
      </c>
      <c r="J36" s="13">
        <v>-78.712100000000007</v>
      </c>
      <c r="K36" s="13">
        <v>-50.291899999999998</v>
      </c>
      <c r="L36" s="13">
        <v>-47.3566</v>
      </c>
      <c r="M36" s="13">
        <v>-16.4298</v>
      </c>
      <c r="N36" s="13">
        <v>-10.795999999999999</v>
      </c>
      <c r="O36" s="13">
        <v>-6.33</v>
      </c>
      <c r="P36" s="13">
        <v>-14.47</v>
      </c>
      <c r="Q36" s="13">
        <v>-8.41</v>
      </c>
      <c r="R36" s="13">
        <v>-2.2999999999999998</v>
      </c>
      <c r="S36" s="13">
        <v>-4.01</v>
      </c>
      <c r="T36" s="13">
        <v>-26.01</v>
      </c>
      <c r="U36" s="13">
        <v>-75.89</v>
      </c>
      <c r="V36" s="13">
        <v>-99.5</v>
      </c>
      <c r="W36" s="13">
        <v>-186</v>
      </c>
      <c r="X36" s="13">
        <v>-185</v>
      </c>
    </row>
    <row r="37" spans="1:24" x14ac:dyDescent="0.2">
      <c r="A37" s="10" t="s">
        <v>870</v>
      </c>
      <c r="B37" s="10" t="s">
        <v>871</v>
      </c>
      <c r="C37" s="13" t="s">
        <v>658</v>
      </c>
      <c r="D37" s="13" t="s">
        <v>658</v>
      </c>
      <c r="E37" s="13" t="s">
        <v>658</v>
      </c>
      <c r="F37" s="13" t="s">
        <v>658</v>
      </c>
      <c r="G37" s="13" t="s">
        <v>658</v>
      </c>
      <c r="H37" s="13">
        <v>-0.60309999999999997</v>
      </c>
      <c r="I37" s="13" t="s">
        <v>658</v>
      </c>
      <c r="J37" s="13" t="s">
        <v>658</v>
      </c>
      <c r="K37" s="13" t="s">
        <v>658</v>
      </c>
      <c r="L37" s="13" t="s">
        <v>658</v>
      </c>
      <c r="M37" s="13" t="s">
        <v>658</v>
      </c>
      <c r="N37" s="13" t="s">
        <v>658</v>
      </c>
      <c r="O37" s="13">
        <v>-16.059999999999999</v>
      </c>
      <c r="P37" s="13">
        <v>-5.85</v>
      </c>
      <c r="Q37" s="13">
        <v>-0.5</v>
      </c>
      <c r="R37" s="13">
        <v>-5.14</v>
      </c>
      <c r="S37" s="13">
        <v>-3.71</v>
      </c>
      <c r="T37" s="13">
        <v>-0.76</v>
      </c>
      <c r="U37" s="13">
        <v>-1.32</v>
      </c>
      <c r="V37" s="13">
        <v>-1.3</v>
      </c>
      <c r="W37" s="13">
        <v>-1.3</v>
      </c>
      <c r="X37" s="13">
        <v>-2.5</v>
      </c>
    </row>
    <row r="38" spans="1:24" x14ac:dyDescent="0.2">
      <c r="A38" s="10" t="s">
        <v>872</v>
      </c>
      <c r="B38" s="10" t="s">
        <v>873</v>
      </c>
      <c r="C38" s="13" t="s">
        <v>658</v>
      </c>
      <c r="D38" s="13" t="s">
        <v>658</v>
      </c>
      <c r="E38" s="13" t="s">
        <v>658</v>
      </c>
      <c r="F38" s="13" t="s">
        <v>658</v>
      </c>
      <c r="G38" s="13" t="s">
        <v>658</v>
      </c>
      <c r="H38" s="13" t="s">
        <v>658</v>
      </c>
      <c r="I38" s="13" t="s">
        <v>658</v>
      </c>
      <c r="J38" s="13" t="s">
        <v>658</v>
      </c>
      <c r="K38" s="13" t="s">
        <v>658</v>
      </c>
      <c r="L38" s="13" t="s">
        <v>658</v>
      </c>
      <c r="M38" s="13" t="s">
        <v>658</v>
      </c>
      <c r="N38" s="13" t="s">
        <v>658</v>
      </c>
      <c r="O38" s="13" t="s">
        <v>658</v>
      </c>
      <c r="P38" s="13" t="s">
        <v>658</v>
      </c>
      <c r="Q38" s="13" t="s">
        <v>658</v>
      </c>
      <c r="R38" s="13" t="s">
        <v>658</v>
      </c>
      <c r="S38" s="13" t="s">
        <v>658</v>
      </c>
      <c r="T38" s="13" t="s">
        <v>658</v>
      </c>
      <c r="U38" s="13">
        <v>0</v>
      </c>
      <c r="V38" s="13" t="s">
        <v>658</v>
      </c>
      <c r="W38" s="13" t="s">
        <v>658</v>
      </c>
      <c r="X38" s="13" t="s">
        <v>658</v>
      </c>
    </row>
    <row r="39" spans="1:24" x14ac:dyDescent="0.2">
      <c r="A39" s="10" t="s">
        <v>874</v>
      </c>
      <c r="B39" s="10" t="s">
        <v>875</v>
      </c>
      <c r="C39" s="13" t="s">
        <v>658</v>
      </c>
      <c r="D39" s="13" t="s">
        <v>658</v>
      </c>
      <c r="E39" s="13" t="s">
        <v>658</v>
      </c>
      <c r="F39" s="13" t="s">
        <v>658</v>
      </c>
      <c r="G39" s="13" t="s">
        <v>658</v>
      </c>
      <c r="H39" s="13" t="s">
        <v>658</v>
      </c>
      <c r="I39" s="13" t="s">
        <v>658</v>
      </c>
      <c r="J39" s="13" t="s">
        <v>658</v>
      </c>
      <c r="K39" s="13" t="s">
        <v>658</v>
      </c>
      <c r="L39" s="13" t="s">
        <v>658</v>
      </c>
      <c r="M39" s="13" t="s">
        <v>658</v>
      </c>
      <c r="N39" s="13" t="s">
        <v>658</v>
      </c>
      <c r="O39" s="13" t="s">
        <v>658</v>
      </c>
      <c r="P39" s="13" t="s">
        <v>658</v>
      </c>
      <c r="Q39" s="13" t="s">
        <v>658</v>
      </c>
      <c r="R39" s="13" t="s">
        <v>658</v>
      </c>
      <c r="S39" s="13" t="s">
        <v>658</v>
      </c>
      <c r="T39" s="13" t="s">
        <v>658</v>
      </c>
      <c r="U39" s="13">
        <v>-643.48</v>
      </c>
      <c r="V39" s="13">
        <v>-238.1</v>
      </c>
      <c r="W39" s="13">
        <v>-177.8</v>
      </c>
      <c r="X39" s="13">
        <v>457</v>
      </c>
    </row>
    <row r="40" spans="1:24" x14ac:dyDescent="0.2">
      <c r="A40" s="10" t="s">
        <v>876</v>
      </c>
      <c r="B40" s="10" t="s">
        <v>877</v>
      </c>
      <c r="C40" s="13">
        <v>288.78480000000002</v>
      </c>
      <c r="D40" s="13">
        <v>253.90309999999999</v>
      </c>
      <c r="E40" s="13">
        <v>217.1028</v>
      </c>
      <c r="F40" s="13">
        <v>141.6387</v>
      </c>
      <c r="G40" s="13">
        <v>125.6435</v>
      </c>
      <c r="H40" s="13">
        <v>329.08049999999997</v>
      </c>
      <c r="I40" s="13">
        <v>263.67950000000002</v>
      </c>
      <c r="J40" s="13">
        <v>224.411</v>
      </c>
      <c r="K40" s="13">
        <v>375.27359999999999</v>
      </c>
      <c r="L40" s="13">
        <v>412.7022</v>
      </c>
      <c r="M40" s="13">
        <v>775.78219999999999</v>
      </c>
      <c r="N40" s="13">
        <v>640.54190000000006</v>
      </c>
      <c r="O40" s="13">
        <v>532.71</v>
      </c>
      <c r="P40" s="13">
        <v>952.81</v>
      </c>
      <c r="Q40" s="13">
        <v>821.03</v>
      </c>
      <c r="R40" s="13">
        <v>1138.53</v>
      </c>
      <c r="S40" s="13">
        <v>866.88</v>
      </c>
      <c r="T40" s="13">
        <v>1089.27</v>
      </c>
      <c r="U40" s="13">
        <v>1920.83</v>
      </c>
      <c r="V40" s="13">
        <v>2434.1</v>
      </c>
      <c r="W40" s="13">
        <v>2508.1999999999998</v>
      </c>
      <c r="X40" s="13">
        <v>2493</v>
      </c>
    </row>
    <row r="41" spans="1:24" x14ac:dyDescent="0.2">
      <c r="A41" s="10" t="s">
        <v>878</v>
      </c>
      <c r="B41" s="10" t="s">
        <v>879</v>
      </c>
      <c r="C41" s="13" t="s">
        <v>658</v>
      </c>
      <c r="D41" s="13" t="s">
        <v>658</v>
      </c>
      <c r="E41" s="13" t="s">
        <v>658</v>
      </c>
      <c r="F41" s="13" t="s">
        <v>658</v>
      </c>
      <c r="G41" s="13" t="s">
        <v>658</v>
      </c>
      <c r="H41" s="13" t="s">
        <v>658</v>
      </c>
      <c r="I41" s="13" t="s">
        <v>658</v>
      </c>
      <c r="J41" s="13" t="s">
        <v>658</v>
      </c>
      <c r="K41" s="13" t="s">
        <v>658</v>
      </c>
      <c r="L41" s="13" t="s">
        <v>658</v>
      </c>
      <c r="M41" s="13" t="s">
        <v>658</v>
      </c>
      <c r="N41" s="13" t="s">
        <v>658</v>
      </c>
      <c r="O41" s="13" t="s">
        <v>658</v>
      </c>
      <c r="P41" s="13" t="s">
        <v>658</v>
      </c>
      <c r="Q41" s="13" t="s">
        <v>658</v>
      </c>
      <c r="R41" s="13" t="s">
        <v>658</v>
      </c>
      <c r="S41" s="13" t="s">
        <v>658</v>
      </c>
      <c r="T41" s="13" t="s">
        <v>658</v>
      </c>
      <c r="U41" s="13" t="s">
        <v>658</v>
      </c>
      <c r="V41" s="13">
        <v>0</v>
      </c>
      <c r="W41" s="13" t="s">
        <v>658</v>
      </c>
      <c r="X41" s="13" t="s">
        <v>658</v>
      </c>
    </row>
    <row r="42" spans="1:24" x14ac:dyDescent="0.2">
      <c r="A42" s="10" t="s">
        <v>880</v>
      </c>
      <c r="B42" s="10" t="s">
        <v>881</v>
      </c>
      <c r="C42" s="13" t="s">
        <v>658</v>
      </c>
      <c r="D42" s="13" t="s">
        <v>658</v>
      </c>
      <c r="E42" s="13" t="s">
        <v>658</v>
      </c>
      <c r="F42" s="13" t="s">
        <v>658</v>
      </c>
      <c r="G42" s="13" t="s">
        <v>658</v>
      </c>
      <c r="H42" s="13" t="s">
        <v>658</v>
      </c>
      <c r="I42" s="13" t="s">
        <v>658</v>
      </c>
      <c r="J42" s="13" t="s">
        <v>658</v>
      </c>
      <c r="K42" s="13" t="s">
        <v>658</v>
      </c>
      <c r="L42" s="13" t="s">
        <v>658</v>
      </c>
      <c r="M42" s="13" t="s">
        <v>658</v>
      </c>
      <c r="N42" s="13" t="s">
        <v>658</v>
      </c>
      <c r="O42" s="13" t="s">
        <v>658</v>
      </c>
      <c r="P42" s="13" t="s">
        <v>658</v>
      </c>
      <c r="Q42" s="13" t="s">
        <v>658</v>
      </c>
      <c r="R42" s="13" t="s">
        <v>658</v>
      </c>
      <c r="S42" s="13" t="s">
        <v>658</v>
      </c>
      <c r="T42" s="13" t="s">
        <v>658</v>
      </c>
      <c r="U42" s="13" t="s">
        <v>658</v>
      </c>
      <c r="V42" s="13" t="s">
        <v>658</v>
      </c>
      <c r="W42" s="13" t="s">
        <v>658</v>
      </c>
      <c r="X42" s="13">
        <v>-15.5</v>
      </c>
    </row>
    <row r="43" spans="1:24" x14ac:dyDescent="0.2">
      <c r="A43" s="10" t="s">
        <v>882</v>
      </c>
      <c r="B43" s="10" t="s">
        <v>883</v>
      </c>
      <c r="C43" s="13" t="s">
        <v>658</v>
      </c>
      <c r="D43" s="13" t="s">
        <v>658</v>
      </c>
      <c r="E43" s="13" t="s">
        <v>658</v>
      </c>
      <c r="F43" s="13" t="s">
        <v>658</v>
      </c>
      <c r="G43" s="13" t="s">
        <v>658</v>
      </c>
      <c r="H43" s="13" t="s">
        <v>658</v>
      </c>
      <c r="I43" s="13" t="s">
        <v>658</v>
      </c>
      <c r="J43" s="13" t="s">
        <v>658</v>
      </c>
      <c r="K43" s="13" t="s">
        <v>658</v>
      </c>
      <c r="L43" s="13" t="s">
        <v>658</v>
      </c>
      <c r="M43" s="13" t="s">
        <v>658</v>
      </c>
      <c r="N43" s="13" t="s">
        <v>658</v>
      </c>
      <c r="O43" s="13" t="s">
        <v>658</v>
      </c>
      <c r="P43" s="13">
        <v>-121.51</v>
      </c>
      <c r="Q43" s="13">
        <v>-204.52</v>
      </c>
      <c r="R43" s="13">
        <v>-235.36</v>
      </c>
      <c r="S43" s="13">
        <v>-316.02999999999997</v>
      </c>
      <c r="T43" s="13">
        <v>-256.11</v>
      </c>
      <c r="U43" s="13">
        <v>-410.7</v>
      </c>
      <c r="V43" s="13">
        <v>-477.8</v>
      </c>
      <c r="W43" s="13">
        <v>-378.1</v>
      </c>
      <c r="X43" s="13">
        <v>-590.20000000000005</v>
      </c>
    </row>
    <row r="44" spans="1:24" x14ac:dyDescent="0.2">
      <c r="A44" s="10" t="s">
        <v>884</v>
      </c>
      <c r="B44" s="10" t="s">
        <v>885</v>
      </c>
      <c r="C44" s="13">
        <v>212.43270000000001</v>
      </c>
      <c r="D44" s="13">
        <v>50.250700000000002</v>
      </c>
      <c r="E44" s="13">
        <v>80.858400000000003</v>
      </c>
      <c r="F44" s="13">
        <v>266.90820000000002</v>
      </c>
      <c r="G44" s="13">
        <v>-44.3125</v>
      </c>
      <c r="H44" s="13">
        <v>151.05029999999999</v>
      </c>
      <c r="I44" s="13">
        <v>263.28129999999999</v>
      </c>
      <c r="J44" s="13">
        <v>41.821199999999997</v>
      </c>
      <c r="K44" s="13">
        <v>406.49110000000002</v>
      </c>
      <c r="L44" s="13">
        <v>615.71720000000005</v>
      </c>
      <c r="M44" s="13">
        <v>232.71680000000001</v>
      </c>
      <c r="N44" s="13">
        <v>822.2414</v>
      </c>
      <c r="O44" s="13">
        <v>885.68</v>
      </c>
      <c r="P44" s="13">
        <v>952.56</v>
      </c>
      <c r="Q44" s="13">
        <v>732.15</v>
      </c>
      <c r="R44" s="13">
        <v>1131.43</v>
      </c>
      <c r="S44" s="13">
        <v>1150.8399999999999</v>
      </c>
      <c r="T44" s="13">
        <v>1273.8599999999999</v>
      </c>
      <c r="U44" s="13">
        <v>2234.61</v>
      </c>
      <c r="V44" s="13">
        <v>1784.9</v>
      </c>
      <c r="W44" s="13">
        <v>2216.8000000000002</v>
      </c>
      <c r="X44" s="13">
        <v>2827.4</v>
      </c>
    </row>
    <row r="45" spans="1:24" x14ac:dyDescent="0.2">
      <c r="A45" s="10" t="s">
        <v>886</v>
      </c>
      <c r="B45" s="10" t="s">
        <v>887</v>
      </c>
      <c r="C45" s="13">
        <v>-3.0200999999999998</v>
      </c>
      <c r="D45" s="13" t="s">
        <v>658</v>
      </c>
      <c r="E45" s="13" t="s">
        <v>658</v>
      </c>
      <c r="F45" s="13" t="s">
        <v>658</v>
      </c>
      <c r="G45" s="13" t="s">
        <v>658</v>
      </c>
      <c r="H45" s="13" t="s">
        <v>658</v>
      </c>
      <c r="I45" s="13" t="s">
        <v>658</v>
      </c>
      <c r="J45" s="13" t="s">
        <v>658</v>
      </c>
      <c r="K45" s="13" t="s">
        <v>658</v>
      </c>
      <c r="L45" s="13" t="s">
        <v>658</v>
      </c>
      <c r="M45" s="13" t="s">
        <v>658</v>
      </c>
      <c r="N45" s="13" t="s">
        <v>658</v>
      </c>
      <c r="O45" s="13" t="s">
        <v>658</v>
      </c>
      <c r="P45" s="13" t="s">
        <v>658</v>
      </c>
      <c r="Q45" s="13" t="s">
        <v>658</v>
      </c>
      <c r="R45" s="13" t="s">
        <v>658</v>
      </c>
      <c r="S45" s="13" t="s">
        <v>658</v>
      </c>
      <c r="T45" s="13" t="s">
        <v>658</v>
      </c>
      <c r="U45" s="13" t="s">
        <v>658</v>
      </c>
      <c r="V45" s="13">
        <v>-25.9</v>
      </c>
      <c r="W45" s="13" t="s">
        <v>658</v>
      </c>
      <c r="X45" s="13">
        <v>-2.2999999999999998</v>
      </c>
    </row>
    <row r="46" spans="1:24" x14ac:dyDescent="0.2">
      <c r="A46" s="10" t="s">
        <v>888</v>
      </c>
      <c r="B46" s="10" t="s">
        <v>889</v>
      </c>
      <c r="C46" s="13" t="s">
        <v>658</v>
      </c>
      <c r="D46" s="13" t="s">
        <v>658</v>
      </c>
      <c r="E46" s="13" t="s">
        <v>658</v>
      </c>
      <c r="F46" s="13" t="s">
        <v>658</v>
      </c>
      <c r="G46" s="13" t="s">
        <v>658</v>
      </c>
      <c r="H46" s="13" t="s">
        <v>658</v>
      </c>
      <c r="I46" s="13" t="s">
        <v>658</v>
      </c>
      <c r="J46" s="13" t="s">
        <v>658</v>
      </c>
      <c r="K46" s="13" t="s">
        <v>658</v>
      </c>
      <c r="L46" s="13" t="s">
        <v>658</v>
      </c>
      <c r="M46" s="13" t="s">
        <v>658</v>
      </c>
      <c r="N46" s="13" t="s">
        <v>658</v>
      </c>
      <c r="O46" s="13" t="s">
        <v>658</v>
      </c>
      <c r="P46" s="13">
        <v>48.43</v>
      </c>
      <c r="Q46" s="13">
        <v>40.299999999999997</v>
      </c>
      <c r="R46" s="13">
        <v>46.24</v>
      </c>
      <c r="S46" s="13">
        <v>23.95</v>
      </c>
      <c r="T46" s="13">
        <v>28.26</v>
      </c>
      <c r="U46" s="13" t="s">
        <v>658</v>
      </c>
      <c r="V46" s="13" t="s">
        <v>658</v>
      </c>
      <c r="W46" s="13" t="s">
        <v>658</v>
      </c>
      <c r="X46" s="13" t="s">
        <v>658</v>
      </c>
    </row>
    <row r="47" spans="1:24" x14ac:dyDescent="0.2">
      <c r="A47" s="10" t="s">
        <v>890</v>
      </c>
      <c r="B47" s="10" t="s">
        <v>891</v>
      </c>
      <c r="C47" s="13" t="s">
        <v>658</v>
      </c>
      <c r="D47" s="13" t="s">
        <v>658</v>
      </c>
      <c r="E47" s="13" t="s">
        <v>658</v>
      </c>
      <c r="F47" s="13" t="s">
        <v>658</v>
      </c>
      <c r="G47" s="13" t="s">
        <v>658</v>
      </c>
      <c r="H47" s="13" t="s">
        <v>658</v>
      </c>
      <c r="I47" s="13" t="s">
        <v>658</v>
      </c>
      <c r="J47" s="13" t="s">
        <v>658</v>
      </c>
      <c r="K47" s="13" t="s">
        <v>658</v>
      </c>
      <c r="L47" s="13" t="s">
        <v>658</v>
      </c>
      <c r="M47" s="13" t="s">
        <v>658</v>
      </c>
      <c r="N47" s="13" t="s">
        <v>658</v>
      </c>
      <c r="O47" s="13" t="s">
        <v>658</v>
      </c>
      <c r="P47" s="13" t="s">
        <v>658</v>
      </c>
      <c r="Q47" s="13" t="s">
        <v>658</v>
      </c>
      <c r="R47" s="13">
        <v>0</v>
      </c>
      <c r="S47" s="13">
        <v>-20.39</v>
      </c>
      <c r="T47" s="13">
        <v>19.54</v>
      </c>
      <c r="U47" s="13" t="s">
        <v>658</v>
      </c>
      <c r="V47" s="13" t="s">
        <v>658</v>
      </c>
      <c r="W47" s="13" t="s">
        <v>658</v>
      </c>
      <c r="X47" s="13" t="s">
        <v>658</v>
      </c>
    </row>
    <row r="48" spans="1:24" x14ac:dyDescent="0.2">
      <c r="A48" s="10" t="s">
        <v>892</v>
      </c>
      <c r="B48" s="10" t="s">
        <v>893</v>
      </c>
      <c r="C48" s="13" t="s">
        <v>658</v>
      </c>
      <c r="D48" s="13" t="s">
        <v>658</v>
      </c>
      <c r="E48" s="13" t="s">
        <v>658</v>
      </c>
      <c r="F48" s="13" t="s">
        <v>658</v>
      </c>
      <c r="G48" s="13" t="s">
        <v>658</v>
      </c>
      <c r="H48" s="13" t="s">
        <v>658</v>
      </c>
      <c r="I48" s="13" t="s">
        <v>658</v>
      </c>
      <c r="J48" s="13" t="s">
        <v>658</v>
      </c>
      <c r="K48" s="13" t="s">
        <v>658</v>
      </c>
      <c r="L48" s="13" t="s">
        <v>658</v>
      </c>
      <c r="M48" s="13" t="s">
        <v>658</v>
      </c>
      <c r="N48" s="13" t="s">
        <v>658</v>
      </c>
      <c r="O48" s="13" t="s">
        <v>658</v>
      </c>
      <c r="P48" s="13" t="s">
        <v>658</v>
      </c>
      <c r="Q48" s="13" t="s">
        <v>658</v>
      </c>
      <c r="R48" s="13" t="s">
        <v>658</v>
      </c>
      <c r="S48" s="13">
        <v>-215.77</v>
      </c>
      <c r="T48" s="13">
        <v>-806.03</v>
      </c>
      <c r="U48" s="13">
        <v>533.57000000000005</v>
      </c>
      <c r="V48" s="13">
        <v>-821.2</v>
      </c>
      <c r="W48" s="13">
        <v>-87.1</v>
      </c>
      <c r="X48" s="13">
        <v>-288.5</v>
      </c>
    </row>
    <row r="49" spans="1:24" x14ac:dyDescent="0.2">
      <c r="A49" s="10" t="s">
        <v>894</v>
      </c>
      <c r="B49" s="10" t="s">
        <v>895</v>
      </c>
      <c r="C49" s="13" t="s">
        <v>658</v>
      </c>
      <c r="D49" s="13" t="s">
        <v>658</v>
      </c>
      <c r="E49" s="13" t="s">
        <v>658</v>
      </c>
      <c r="F49" s="13" t="s">
        <v>658</v>
      </c>
      <c r="G49" s="13" t="s">
        <v>658</v>
      </c>
      <c r="H49" s="13" t="s">
        <v>658</v>
      </c>
      <c r="I49" s="13" t="s">
        <v>658</v>
      </c>
      <c r="J49" s="13" t="s">
        <v>658</v>
      </c>
      <c r="K49" s="13" t="s">
        <v>658</v>
      </c>
      <c r="L49" s="13" t="s">
        <v>658</v>
      </c>
      <c r="M49" s="13" t="s">
        <v>658</v>
      </c>
      <c r="N49" s="13" t="s">
        <v>658</v>
      </c>
      <c r="O49" s="13" t="s">
        <v>658</v>
      </c>
      <c r="P49" s="13" t="s">
        <v>658</v>
      </c>
      <c r="Q49" s="13" t="s">
        <v>658</v>
      </c>
      <c r="R49" s="13" t="s">
        <v>658</v>
      </c>
      <c r="S49" s="13">
        <v>214.21</v>
      </c>
      <c r="T49" s="13">
        <v>-1.74</v>
      </c>
      <c r="U49" s="13">
        <v>103.35</v>
      </c>
      <c r="V49" s="13">
        <v>-27.3</v>
      </c>
      <c r="W49" s="13">
        <v>13.2</v>
      </c>
      <c r="X49" s="13">
        <v>-7.9</v>
      </c>
    </row>
    <row r="50" spans="1:24" x14ac:dyDescent="0.2">
      <c r="A50" s="10" t="s">
        <v>896</v>
      </c>
      <c r="B50" s="10" t="s">
        <v>897</v>
      </c>
      <c r="C50" s="13">
        <v>29.246700000000001</v>
      </c>
      <c r="D50" s="13" t="s">
        <v>658</v>
      </c>
      <c r="E50" s="13" t="s">
        <v>658</v>
      </c>
      <c r="F50" s="13">
        <v>53.453699999999998</v>
      </c>
      <c r="G50" s="13" t="s">
        <v>658</v>
      </c>
      <c r="H50" s="13" t="s">
        <v>658</v>
      </c>
      <c r="I50" s="13" t="s">
        <v>658</v>
      </c>
      <c r="J50" s="13" t="s">
        <v>658</v>
      </c>
      <c r="K50" s="13" t="s">
        <v>658</v>
      </c>
      <c r="L50" s="13" t="s">
        <v>658</v>
      </c>
      <c r="M50" s="13" t="s">
        <v>658</v>
      </c>
      <c r="N50" s="13" t="s">
        <v>658</v>
      </c>
      <c r="O50" s="13" t="s">
        <v>658</v>
      </c>
      <c r="P50" s="13" t="s">
        <v>658</v>
      </c>
      <c r="Q50" s="13" t="s">
        <v>658</v>
      </c>
      <c r="R50" s="13" t="s">
        <v>658</v>
      </c>
      <c r="S50" s="13" t="s">
        <v>658</v>
      </c>
      <c r="T50" s="13" t="s">
        <v>658</v>
      </c>
      <c r="U50" s="13" t="s">
        <v>658</v>
      </c>
      <c r="V50" s="13" t="s">
        <v>658</v>
      </c>
      <c r="W50" s="13" t="s">
        <v>658</v>
      </c>
      <c r="X50" s="13" t="s">
        <v>658</v>
      </c>
    </row>
    <row r="51" spans="1:24" x14ac:dyDescent="0.2">
      <c r="A51" s="10" t="s">
        <v>898</v>
      </c>
      <c r="B51" s="10" t="s">
        <v>899</v>
      </c>
      <c r="C51" s="13">
        <v>-0.69130000000000003</v>
      </c>
      <c r="D51" s="13">
        <v>4.2758000000000003</v>
      </c>
      <c r="E51" s="13">
        <v>0.30359999999999998</v>
      </c>
      <c r="F51" s="13">
        <v>-0.48199999999999998</v>
      </c>
      <c r="G51" s="13">
        <v>7.4901</v>
      </c>
      <c r="H51" s="13" t="s">
        <v>658</v>
      </c>
      <c r="I51" s="13" t="s">
        <v>658</v>
      </c>
      <c r="J51" s="13" t="s">
        <v>658</v>
      </c>
      <c r="K51" s="13" t="s">
        <v>658</v>
      </c>
      <c r="L51" s="13" t="s">
        <v>658</v>
      </c>
      <c r="M51" s="13" t="s">
        <v>658</v>
      </c>
      <c r="N51" s="13" t="s">
        <v>658</v>
      </c>
      <c r="O51" s="13" t="s">
        <v>658</v>
      </c>
      <c r="P51" s="13" t="s">
        <v>658</v>
      </c>
      <c r="Q51" s="13" t="s">
        <v>658</v>
      </c>
      <c r="R51" s="13" t="s">
        <v>658</v>
      </c>
      <c r="S51" s="13" t="s">
        <v>658</v>
      </c>
      <c r="T51" s="13" t="s">
        <v>658</v>
      </c>
      <c r="U51" s="13" t="s">
        <v>658</v>
      </c>
      <c r="V51" s="13" t="s">
        <v>658</v>
      </c>
      <c r="W51" s="13" t="s">
        <v>658</v>
      </c>
      <c r="X51" s="13" t="s">
        <v>658</v>
      </c>
    </row>
    <row r="52" spans="1:24" x14ac:dyDescent="0.2">
      <c r="A52" s="10" t="s">
        <v>900</v>
      </c>
      <c r="B52" s="10" t="s">
        <v>901</v>
      </c>
      <c r="C52" s="13" t="s">
        <v>658</v>
      </c>
      <c r="D52" s="13">
        <v>-8.2134999999999998</v>
      </c>
      <c r="E52" s="13" t="s">
        <v>658</v>
      </c>
      <c r="F52" s="13" t="s">
        <v>658</v>
      </c>
      <c r="G52" s="13" t="s">
        <v>658</v>
      </c>
      <c r="H52" s="13" t="s">
        <v>658</v>
      </c>
      <c r="I52" s="13" t="s">
        <v>658</v>
      </c>
      <c r="J52" s="13" t="s">
        <v>658</v>
      </c>
      <c r="K52" s="13" t="s">
        <v>658</v>
      </c>
      <c r="L52" s="13" t="s">
        <v>658</v>
      </c>
      <c r="M52" s="13" t="s">
        <v>658</v>
      </c>
      <c r="N52" s="13" t="s">
        <v>658</v>
      </c>
      <c r="O52" s="13" t="s">
        <v>658</v>
      </c>
      <c r="P52" s="13" t="s">
        <v>658</v>
      </c>
      <c r="Q52" s="13" t="s">
        <v>658</v>
      </c>
      <c r="R52" s="13" t="s">
        <v>658</v>
      </c>
      <c r="S52" s="13" t="s">
        <v>658</v>
      </c>
      <c r="T52" s="13" t="s">
        <v>658</v>
      </c>
      <c r="U52" s="13" t="s">
        <v>658</v>
      </c>
      <c r="V52" s="13" t="s">
        <v>658</v>
      </c>
      <c r="W52" s="13" t="s">
        <v>658</v>
      </c>
      <c r="X52" s="13" t="s">
        <v>658</v>
      </c>
    </row>
    <row r="53" spans="1:24" x14ac:dyDescent="0.2">
      <c r="A53" s="10" t="s">
        <v>902</v>
      </c>
      <c r="B53" s="10" t="s">
        <v>903</v>
      </c>
      <c r="C53" s="13" t="s">
        <v>658</v>
      </c>
      <c r="D53" s="13" t="s">
        <v>658</v>
      </c>
      <c r="E53" s="13" t="s">
        <v>658</v>
      </c>
      <c r="F53" s="13" t="s">
        <v>658</v>
      </c>
      <c r="G53" s="13" t="s">
        <v>658</v>
      </c>
      <c r="H53" s="13" t="s">
        <v>658</v>
      </c>
      <c r="I53" s="13">
        <v>23.438600000000001</v>
      </c>
      <c r="J53" s="13" t="s">
        <v>658</v>
      </c>
      <c r="K53" s="13" t="s">
        <v>658</v>
      </c>
      <c r="L53" s="13" t="s">
        <v>658</v>
      </c>
      <c r="M53" s="13" t="s">
        <v>658</v>
      </c>
      <c r="N53" s="13" t="s">
        <v>658</v>
      </c>
      <c r="O53" s="13" t="s">
        <v>658</v>
      </c>
      <c r="P53" s="13" t="s">
        <v>658</v>
      </c>
      <c r="Q53" s="13" t="s">
        <v>658</v>
      </c>
      <c r="R53" s="13" t="s">
        <v>658</v>
      </c>
      <c r="S53" s="13" t="s">
        <v>658</v>
      </c>
      <c r="T53" s="13" t="s">
        <v>658</v>
      </c>
      <c r="U53" s="13" t="s">
        <v>658</v>
      </c>
      <c r="V53" s="13" t="s">
        <v>658</v>
      </c>
      <c r="W53" s="13" t="s">
        <v>658</v>
      </c>
      <c r="X53" s="13" t="s">
        <v>658</v>
      </c>
    </row>
    <row r="54" spans="1:24" x14ac:dyDescent="0.2">
      <c r="A54" s="10" t="s">
        <v>904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spans="1:24" x14ac:dyDescent="0.2">
      <c r="A55" s="10" t="s">
        <v>905</v>
      </c>
      <c r="B55" s="10" t="s">
        <v>906</v>
      </c>
      <c r="C55" s="13" t="s">
        <v>658</v>
      </c>
      <c r="D55" s="13" t="s">
        <v>658</v>
      </c>
      <c r="E55" s="13" t="s">
        <v>658</v>
      </c>
      <c r="F55" s="13">
        <v>0.89149999999999996</v>
      </c>
      <c r="G55" s="13">
        <v>9.6647999999999996</v>
      </c>
      <c r="H55" s="13" t="s">
        <v>658</v>
      </c>
      <c r="I55" s="13" t="s">
        <v>658</v>
      </c>
      <c r="J55" s="13">
        <v>0.38869999999999999</v>
      </c>
      <c r="K55" s="13" t="s">
        <v>658</v>
      </c>
      <c r="L55" s="13" t="s">
        <v>658</v>
      </c>
      <c r="M55" s="13" t="s">
        <v>658</v>
      </c>
      <c r="N55" s="13" t="s">
        <v>658</v>
      </c>
      <c r="O55" s="13">
        <v>0.55000000000000004</v>
      </c>
      <c r="P55" s="13">
        <v>10.45</v>
      </c>
      <c r="Q55" s="13">
        <v>77.55</v>
      </c>
      <c r="R55" s="13">
        <v>16.62</v>
      </c>
      <c r="S55" s="13">
        <v>5.37</v>
      </c>
      <c r="T55" s="13">
        <v>1.69</v>
      </c>
      <c r="U55" s="13">
        <v>4.09</v>
      </c>
      <c r="V55" s="13">
        <v>9.4</v>
      </c>
      <c r="W55" s="13">
        <v>71.599999999999994</v>
      </c>
      <c r="X55" s="13">
        <v>133.5</v>
      </c>
    </row>
    <row r="56" spans="1:24" x14ac:dyDescent="0.2">
      <c r="A56" s="10" t="s">
        <v>907</v>
      </c>
      <c r="B56" s="10" t="s">
        <v>908</v>
      </c>
      <c r="C56" s="13">
        <v>-34.499000000000002</v>
      </c>
      <c r="D56" s="13">
        <v>-48.008400000000002</v>
      </c>
      <c r="E56" s="13">
        <v>-93.888400000000004</v>
      </c>
      <c r="F56" s="13">
        <v>-65.628100000000003</v>
      </c>
      <c r="G56" s="13">
        <v>-129.03649999999999</v>
      </c>
      <c r="H56" s="13">
        <v>-106.8244</v>
      </c>
      <c r="I56" s="13">
        <v>-144.7818</v>
      </c>
      <c r="J56" s="13">
        <v>-156.28819999999999</v>
      </c>
      <c r="K56" s="13">
        <v>-892.61419999999998</v>
      </c>
      <c r="L56" s="13">
        <v>-171.19229999999999</v>
      </c>
      <c r="M56" s="13">
        <v>-947.30449999999996</v>
      </c>
      <c r="N56" s="13">
        <v>-179.94630000000001</v>
      </c>
      <c r="O56" s="13">
        <v>-283.18</v>
      </c>
      <c r="P56" s="13">
        <v>-293.85000000000002</v>
      </c>
      <c r="Q56" s="13">
        <v>-504.86</v>
      </c>
      <c r="R56" s="13">
        <v>-265.08</v>
      </c>
      <c r="S56" s="13">
        <v>-210.14</v>
      </c>
      <c r="T56" s="13">
        <v>-164.18</v>
      </c>
      <c r="U56" s="13">
        <v>-243.93</v>
      </c>
      <c r="V56" s="13">
        <v>-398.9</v>
      </c>
      <c r="W56" s="13">
        <v>-163.1</v>
      </c>
      <c r="X56" s="13">
        <v>-359.1</v>
      </c>
    </row>
    <row r="57" spans="1:24" x14ac:dyDescent="0.2">
      <c r="A57" s="10" t="s">
        <v>909</v>
      </c>
      <c r="B57" s="10" t="s">
        <v>910</v>
      </c>
      <c r="C57" s="13" t="s">
        <v>658</v>
      </c>
      <c r="D57" s="13" t="s">
        <v>658</v>
      </c>
      <c r="E57" s="13" t="s">
        <v>658</v>
      </c>
      <c r="F57" s="13" t="s">
        <v>658</v>
      </c>
      <c r="G57" s="13" t="s">
        <v>658</v>
      </c>
      <c r="H57" s="13" t="s">
        <v>658</v>
      </c>
      <c r="I57" s="13" t="s">
        <v>658</v>
      </c>
      <c r="J57" s="13" t="s">
        <v>658</v>
      </c>
      <c r="K57" s="13" t="s">
        <v>658</v>
      </c>
      <c r="L57" s="13" t="s">
        <v>658</v>
      </c>
      <c r="M57" s="13" t="s">
        <v>658</v>
      </c>
      <c r="N57" s="13" t="s">
        <v>658</v>
      </c>
      <c r="O57" s="13" t="s">
        <v>658</v>
      </c>
      <c r="P57" s="13">
        <v>440.36</v>
      </c>
      <c r="Q57" s="13">
        <v>192.16</v>
      </c>
      <c r="R57" s="13">
        <v>12.38</v>
      </c>
      <c r="S57" s="13" t="s">
        <v>658</v>
      </c>
      <c r="T57" s="13" t="s">
        <v>658</v>
      </c>
      <c r="U57" s="13" t="s">
        <v>658</v>
      </c>
      <c r="V57" s="13" t="s">
        <v>658</v>
      </c>
      <c r="W57" s="13" t="s">
        <v>658</v>
      </c>
      <c r="X57" s="13" t="s">
        <v>658</v>
      </c>
    </row>
    <row r="58" spans="1:24" x14ac:dyDescent="0.2">
      <c r="A58" s="10" t="s">
        <v>911</v>
      </c>
      <c r="B58" s="10" t="s">
        <v>912</v>
      </c>
      <c r="C58" s="13" t="s">
        <v>658</v>
      </c>
      <c r="D58" s="13" t="s">
        <v>658</v>
      </c>
      <c r="E58" s="13">
        <v>43.4739</v>
      </c>
      <c r="F58" s="13" t="s">
        <v>658</v>
      </c>
      <c r="G58" s="13" t="s">
        <v>658</v>
      </c>
      <c r="H58" s="13" t="s">
        <v>658</v>
      </c>
      <c r="I58" s="13" t="s">
        <v>658</v>
      </c>
      <c r="J58" s="13">
        <v>-6.7051999999999996</v>
      </c>
      <c r="K58" s="13">
        <v>359.97579999999999</v>
      </c>
      <c r="L58" s="13" t="s">
        <v>658</v>
      </c>
      <c r="M58" s="13" t="s">
        <v>658</v>
      </c>
      <c r="N58" s="13" t="s">
        <v>658</v>
      </c>
      <c r="O58" s="13" t="s">
        <v>658</v>
      </c>
      <c r="P58" s="13" t="s">
        <v>658</v>
      </c>
      <c r="Q58" s="13" t="s">
        <v>658</v>
      </c>
      <c r="R58" s="13" t="s">
        <v>658</v>
      </c>
      <c r="S58" s="13" t="s">
        <v>658</v>
      </c>
      <c r="T58" s="13" t="s">
        <v>658</v>
      </c>
      <c r="U58" s="13">
        <v>-1121.99</v>
      </c>
      <c r="V58" s="13">
        <v>-716.8</v>
      </c>
      <c r="W58" s="13">
        <v>-1659.8</v>
      </c>
      <c r="X58" s="13">
        <v>2163.1</v>
      </c>
    </row>
    <row r="59" spans="1:24" x14ac:dyDescent="0.2">
      <c r="A59" s="10" t="s">
        <v>913</v>
      </c>
      <c r="B59" s="10" t="s">
        <v>914</v>
      </c>
      <c r="C59" s="13" t="s">
        <v>658</v>
      </c>
      <c r="D59" s="13" t="s">
        <v>658</v>
      </c>
      <c r="E59" s="13" t="s">
        <v>658</v>
      </c>
      <c r="F59" s="13" t="s">
        <v>658</v>
      </c>
      <c r="G59" s="13" t="s">
        <v>658</v>
      </c>
      <c r="H59" s="13" t="s">
        <v>658</v>
      </c>
      <c r="I59" s="13" t="s">
        <v>658</v>
      </c>
      <c r="J59" s="13" t="s">
        <v>658</v>
      </c>
      <c r="K59" s="13" t="s">
        <v>658</v>
      </c>
      <c r="L59" s="13" t="s">
        <v>658</v>
      </c>
      <c r="M59" s="13" t="s">
        <v>658</v>
      </c>
      <c r="N59" s="13" t="s">
        <v>658</v>
      </c>
      <c r="O59" s="13" t="s">
        <v>658</v>
      </c>
      <c r="P59" s="13">
        <v>284.43</v>
      </c>
      <c r="Q59" s="13">
        <v>269.32</v>
      </c>
      <c r="R59" s="13" t="s">
        <v>658</v>
      </c>
      <c r="S59" s="13">
        <v>0</v>
      </c>
      <c r="T59" s="13">
        <v>538.48</v>
      </c>
      <c r="U59" s="13" t="s">
        <v>658</v>
      </c>
      <c r="V59" s="13" t="s">
        <v>658</v>
      </c>
      <c r="W59" s="13" t="s">
        <v>658</v>
      </c>
      <c r="X59" s="13" t="s">
        <v>658</v>
      </c>
    </row>
    <row r="60" spans="1:24" x14ac:dyDescent="0.2">
      <c r="A60" s="10" t="s">
        <v>915</v>
      </c>
      <c r="B60" s="10" t="s">
        <v>916</v>
      </c>
      <c r="C60" s="13" t="s">
        <v>658</v>
      </c>
      <c r="D60" s="13" t="s">
        <v>658</v>
      </c>
      <c r="E60" s="13" t="s">
        <v>658</v>
      </c>
      <c r="F60" s="13">
        <v>8.1311999999999998</v>
      </c>
      <c r="G60" s="13">
        <v>85.140799999999999</v>
      </c>
      <c r="H60" s="13">
        <v>245.7604</v>
      </c>
      <c r="I60" s="13">
        <v>164.98769999999999</v>
      </c>
      <c r="J60" s="13" t="s">
        <v>658</v>
      </c>
      <c r="K60" s="13" t="s">
        <v>658</v>
      </c>
      <c r="L60" s="13">
        <v>30.3126</v>
      </c>
      <c r="M60" s="13">
        <v>27.352900000000002</v>
      </c>
      <c r="N60" s="13">
        <v>26.413799999999998</v>
      </c>
      <c r="O60" s="13">
        <v>60.14</v>
      </c>
      <c r="P60" s="13" t="s">
        <v>658</v>
      </c>
      <c r="Q60" s="13" t="s">
        <v>658</v>
      </c>
      <c r="R60" s="13" t="s">
        <v>658</v>
      </c>
      <c r="S60" s="13" t="s">
        <v>658</v>
      </c>
      <c r="T60" s="13" t="s">
        <v>658</v>
      </c>
      <c r="U60" s="13" t="s">
        <v>658</v>
      </c>
      <c r="V60" s="13" t="s">
        <v>658</v>
      </c>
      <c r="W60" s="13" t="s">
        <v>658</v>
      </c>
      <c r="X60" s="13" t="s">
        <v>658</v>
      </c>
    </row>
    <row r="61" spans="1:24" x14ac:dyDescent="0.2">
      <c r="A61" s="10" t="s">
        <v>917</v>
      </c>
      <c r="B61" s="10" t="s">
        <v>918</v>
      </c>
      <c r="C61" s="13">
        <v>-273.98540000000003</v>
      </c>
      <c r="D61" s="13">
        <v>-725.49149999999997</v>
      </c>
      <c r="E61" s="13" t="s">
        <v>658</v>
      </c>
      <c r="F61" s="13">
        <v>-91.744299999999996</v>
      </c>
      <c r="G61" s="13">
        <v>-1.5749</v>
      </c>
      <c r="H61" s="13" t="s">
        <v>658</v>
      </c>
      <c r="I61" s="13" t="s">
        <v>658</v>
      </c>
      <c r="J61" s="13" t="s">
        <v>658</v>
      </c>
      <c r="K61" s="13" t="s">
        <v>658</v>
      </c>
      <c r="L61" s="13">
        <v>-251.5992</v>
      </c>
      <c r="M61" s="13">
        <v>-93.577100000000002</v>
      </c>
      <c r="N61" s="13">
        <v>-21.096699999999998</v>
      </c>
      <c r="O61" s="13">
        <v>-319.5</v>
      </c>
      <c r="P61" s="13">
        <v>0</v>
      </c>
      <c r="Q61" s="13" t="s">
        <v>658</v>
      </c>
      <c r="R61" s="13">
        <v>-222.18</v>
      </c>
      <c r="S61" s="13">
        <v>216.95</v>
      </c>
      <c r="T61" s="13">
        <v>-1224.0899999999999</v>
      </c>
      <c r="U61" s="13" t="s">
        <v>658</v>
      </c>
      <c r="V61" s="13" t="s">
        <v>658</v>
      </c>
      <c r="W61" s="13" t="s">
        <v>658</v>
      </c>
      <c r="X61" s="13" t="s">
        <v>658</v>
      </c>
    </row>
    <row r="62" spans="1:24" x14ac:dyDescent="0.2">
      <c r="A62" s="10" t="s">
        <v>919</v>
      </c>
      <c r="B62" s="10" t="s">
        <v>920</v>
      </c>
      <c r="C62" s="13" t="s">
        <v>658</v>
      </c>
      <c r="D62" s="13" t="s">
        <v>658</v>
      </c>
      <c r="E62" s="13" t="s">
        <v>658</v>
      </c>
      <c r="F62" s="13" t="s">
        <v>658</v>
      </c>
      <c r="G62" s="13" t="s">
        <v>658</v>
      </c>
      <c r="H62" s="13" t="s">
        <v>658</v>
      </c>
      <c r="I62" s="13" t="s">
        <v>658</v>
      </c>
      <c r="J62" s="13" t="s">
        <v>658</v>
      </c>
      <c r="K62" s="13" t="s">
        <v>658</v>
      </c>
      <c r="L62" s="13" t="s">
        <v>658</v>
      </c>
      <c r="M62" s="13" t="s">
        <v>658</v>
      </c>
      <c r="N62" s="13" t="s">
        <v>658</v>
      </c>
      <c r="O62" s="13" t="s">
        <v>658</v>
      </c>
      <c r="P62" s="13">
        <v>-330</v>
      </c>
      <c r="Q62" s="13">
        <v>-391</v>
      </c>
      <c r="R62" s="13">
        <v>-197.1</v>
      </c>
      <c r="S62" s="13">
        <v>-124.22</v>
      </c>
      <c r="T62" s="13">
        <v>-5.71</v>
      </c>
      <c r="U62" s="13" t="s">
        <v>658</v>
      </c>
      <c r="V62" s="13">
        <v>0</v>
      </c>
      <c r="W62" s="13" t="s">
        <v>658</v>
      </c>
      <c r="X62" s="13" t="s">
        <v>658</v>
      </c>
    </row>
    <row r="63" spans="1:24" x14ac:dyDescent="0.2">
      <c r="A63" s="10" t="s">
        <v>921</v>
      </c>
      <c r="B63" s="10" t="s">
        <v>922</v>
      </c>
      <c r="C63" s="13" t="s">
        <v>658</v>
      </c>
      <c r="D63" s="13">
        <v>-3.7905000000000002</v>
      </c>
      <c r="E63" s="13">
        <v>-0.82389999999999997</v>
      </c>
      <c r="F63" s="13" t="s">
        <v>658</v>
      </c>
      <c r="G63" s="13" t="s">
        <v>658</v>
      </c>
      <c r="H63" s="13">
        <v>-17.019500000000001</v>
      </c>
      <c r="I63" s="13">
        <v>-23.4558</v>
      </c>
      <c r="J63" s="13">
        <v>30.4483</v>
      </c>
      <c r="K63" s="13">
        <v>33.945900000000002</v>
      </c>
      <c r="L63" s="13" t="s">
        <v>658</v>
      </c>
      <c r="M63" s="13" t="s">
        <v>658</v>
      </c>
      <c r="N63" s="13" t="s">
        <v>658</v>
      </c>
      <c r="O63" s="13" t="s">
        <v>658</v>
      </c>
      <c r="P63" s="13">
        <v>-317.8</v>
      </c>
      <c r="Q63" s="13" t="s">
        <v>658</v>
      </c>
      <c r="R63" s="13" t="s">
        <v>658</v>
      </c>
      <c r="S63" s="13" t="s">
        <v>658</v>
      </c>
      <c r="T63" s="13" t="s">
        <v>658</v>
      </c>
      <c r="U63" s="13">
        <v>-18.03</v>
      </c>
      <c r="V63" s="13">
        <v>11.4</v>
      </c>
      <c r="W63" s="13">
        <v>-185.2</v>
      </c>
      <c r="X63" s="13" t="s">
        <v>658</v>
      </c>
    </row>
    <row r="64" spans="1:24" x14ac:dyDescent="0.2">
      <c r="A64" s="10" t="s">
        <v>923</v>
      </c>
      <c r="B64" s="10" t="s">
        <v>924</v>
      </c>
      <c r="C64" s="13" t="s">
        <v>658</v>
      </c>
      <c r="D64" s="13" t="s">
        <v>658</v>
      </c>
      <c r="E64" s="13" t="s">
        <v>658</v>
      </c>
      <c r="F64" s="13" t="s">
        <v>658</v>
      </c>
      <c r="G64" s="13" t="s">
        <v>658</v>
      </c>
      <c r="H64" s="13" t="s">
        <v>658</v>
      </c>
      <c r="I64" s="13" t="s">
        <v>658</v>
      </c>
      <c r="J64" s="13" t="s">
        <v>658</v>
      </c>
      <c r="K64" s="13" t="s">
        <v>658</v>
      </c>
      <c r="L64" s="13" t="s">
        <v>658</v>
      </c>
      <c r="M64" s="13" t="s">
        <v>658</v>
      </c>
      <c r="N64" s="13" t="s">
        <v>658</v>
      </c>
      <c r="O64" s="13" t="s">
        <v>658</v>
      </c>
      <c r="P64" s="13" t="s">
        <v>658</v>
      </c>
      <c r="Q64" s="13" t="s">
        <v>658</v>
      </c>
      <c r="R64" s="13" t="s">
        <v>658</v>
      </c>
      <c r="S64" s="13" t="s">
        <v>658</v>
      </c>
      <c r="T64" s="13" t="s">
        <v>658</v>
      </c>
      <c r="U64" s="13" t="s">
        <v>658</v>
      </c>
      <c r="V64" s="13" t="s">
        <v>658</v>
      </c>
      <c r="W64" s="13" t="s">
        <v>658</v>
      </c>
      <c r="X64" s="13">
        <v>-4603.7</v>
      </c>
    </row>
    <row r="65" spans="1:24" x14ac:dyDescent="0.2">
      <c r="A65" s="10" t="s">
        <v>925</v>
      </c>
      <c r="B65" s="10" t="s">
        <v>926</v>
      </c>
      <c r="C65" s="13" t="s">
        <v>658</v>
      </c>
      <c r="D65" s="13" t="s">
        <v>658</v>
      </c>
      <c r="E65" s="13" t="s">
        <v>658</v>
      </c>
      <c r="F65" s="13" t="s">
        <v>658</v>
      </c>
      <c r="G65" s="13" t="s">
        <v>658</v>
      </c>
      <c r="H65" s="13">
        <v>39.848599999999998</v>
      </c>
      <c r="I65" s="13" t="s">
        <v>658</v>
      </c>
      <c r="J65" s="13" t="s">
        <v>658</v>
      </c>
      <c r="K65" s="13" t="s">
        <v>658</v>
      </c>
      <c r="L65" s="13" t="s">
        <v>658</v>
      </c>
      <c r="M65" s="13" t="s">
        <v>658</v>
      </c>
      <c r="N65" s="13" t="s">
        <v>658</v>
      </c>
      <c r="O65" s="13">
        <v>6.33</v>
      </c>
      <c r="P65" s="13">
        <v>13.7</v>
      </c>
      <c r="Q65" s="13">
        <v>8.26</v>
      </c>
      <c r="R65" s="13">
        <v>2.46</v>
      </c>
      <c r="S65" s="13">
        <v>1.1200000000000001</v>
      </c>
      <c r="T65" s="13">
        <v>9.6</v>
      </c>
      <c r="U65" s="13">
        <v>36.61</v>
      </c>
      <c r="V65" s="13">
        <v>104</v>
      </c>
      <c r="W65" s="13">
        <v>141.69999999999999</v>
      </c>
      <c r="X65" s="13">
        <v>171.4</v>
      </c>
    </row>
    <row r="66" spans="1:24" x14ac:dyDescent="0.2">
      <c r="A66" s="10" t="s">
        <v>927</v>
      </c>
      <c r="B66" s="10" t="s">
        <v>928</v>
      </c>
      <c r="C66" s="13" t="s">
        <v>658</v>
      </c>
      <c r="D66" s="13" t="s">
        <v>658</v>
      </c>
      <c r="E66" s="13" t="s">
        <v>658</v>
      </c>
      <c r="F66" s="13" t="s">
        <v>658</v>
      </c>
      <c r="G66" s="13" t="s">
        <v>658</v>
      </c>
      <c r="H66" s="13">
        <v>0.60309999999999997</v>
      </c>
      <c r="I66" s="13" t="s">
        <v>658</v>
      </c>
      <c r="J66" s="13" t="s">
        <v>658</v>
      </c>
      <c r="K66" s="13" t="s">
        <v>658</v>
      </c>
      <c r="L66" s="13" t="s">
        <v>658</v>
      </c>
      <c r="M66" s="13" t="s">
        <v>658</v>
      </c>
      <c r="N66" s="13" t="s">
        <v>658</v>
      </c>
      <c r="O66" s="13">
        <v>16.059999999999999</v>
      </c>
      <c r="P66" s="13">
        <v>5.85</v>
      </c>
      <c r="Q66" s="13">
        <v>0.5</v>
      </c>
      <c r="R66" s="13">
        <v>5.14</v>
      </c>
      <c r="S66" s="13">
        <v>14.42</v>
      </c>
      <c r="T66" s="13">
        <v>51.26</v>
      </c>
      <c r="U66" s="13">
        <v>1.32</v>
      </c>
      <c r="V66" s="13">
        <v>1.3</v>
      </c>
      <c r="W66" s="13">
        <v>1.3</v>
      </c>
      <c r="X66" s="13">
        <v>2.5</v>
      </c>
    </row>
    <row r="67" spans="1:24" x14ac:dyDescent="0.2">
      <c r="A67" s="10" t="s">
        <v>929</v>
      </c>
      <c r="B67" s="10" t="s">
        <v>930</v>
      </c>
      <c r="C67" s="13">
        <v>21.101900000000001</v>
      </c>
      <c r="D67" s="13">
        <v>29.028700000000001</v>
      </c>
      <c r="E67" s="13">
        <v>35.929900000000004</v>
      </c>
      <c r="F67" s="13">
        <v>45.243099999999998</v>
      </c>
      <c r="G67" s="13">
        <v>10.4693</v>
      </c>
      <c r="H67" s="13" t="s">
        <v>658</v>
      </c>
      <c r="I67" s="13">
        <v>0.84470000000000001</v>
      </c>
      <c r="J67" s="13">
        <v>34.053100000000001</v>
      </c>
      <c r="K67" s="13">
        <v>5.6645000000000003</v>
      </c>
      <c r="L67" s="13">
        <v>8.5314999999999994</v>
      </c>
      <c r="M67" s="13">
        <v>15.8916</v>
      </c>
      <c r="N67" s="13">
        <v>18.825399999999998</v>
      </c>
      <c r="O67" s="13" t="s">
        <v>658</v>
      </c>
      <c r="P67" s="13" t="s">
        <v>658</v>
      </c>
      <c r="Q67" s="13" t="s">
        <v>658</v>
      </c>
      <c r="R67" s="13" t="s">
        <v>658</v>
      </c>
      <c r="S67" s="13" t="s">
        <v>658</v>
      </c>
      <c r="T67" s="13" t="s">
        <v>658</v>
      </c>
      <c r="U67" s="13" t="s">
        <v>658</v>
      </c>
      <c r="V67" s="13" t="s">
        <v>658</v>
      </c>
      <c r="W67" s="13" t="s">
        <v>658</v>
      </c>
      <c r="X67" s="13" t="s">
        <v>658</v>
      </c>
    </row>
    <row r="68" spans="1:24" x14ac:dyDescent="0.2">
      <c r="A68" s="10" t="s">
        <v>868</v>
      </c>
      <c r="B68" s="10" t="s">
        <v>931</v>
      </c>
      <c r="C68" s="13">
        <v>3.6591</v>
      </c>
      <c r="D68" s="13">
        <v>5.6538000000000004</v>
      </c>
      <c r="E68" s="13">
        <v>7.7611999999999997</v>
      </c>
      <c r="F68" s="13">
        <v>4.4301000000000004</v>
      </c>
      <c r="G68" s="13">
        <v>12.728199999999999</v>
      </c>
      <c r="H68" s="13" t="s">
        <v>658</v>
      </c>
      <c r="I68" s="13">
        <v>87.565399999999997</v>
      </c>
      <c r="J68" s="13">
        <v>78.712100000000007</v>
      </c>
      <c r="K68" s="13">
        <v>50.291899999999998</v>
      </c>
      <c r="L68" s="13">
        <v>47.3566</v>
      </c>
      <c r="M68" s="13">
        <v>16.4298</v>
      </c>
      <c r="N68" s="13">
        <v>10.795999999999999</v>
      </c>
      <c r="O68" s="13" t="s">
        <v>658</v>
      </c>
      <c r="P68" s="13" t="s">
        <v>658</v>
      </c>
      <c r="Q68" s="13" t="s">
        <v>658</v>
      </c>
      <c r="R68" s="13" t="s">
        <v>658</v>
      </c>
      <c r="S68" s="13" t="s">
        <v>658</v>
      </c>
      <c r="T68" s="13" t="s">
        <v>658</v>
      </c>
      <c r="U68" s="13" t="s">
        <v>658</v>
      </c>
      <c r="V68" s="13" t="s">
        <v>658</v>
      </c>
      <c r="W68" s="13" t="s">
        <v>658</v>
      </c>
      <c r="X68" s="13" t="s">
        <v>658</v>
      </c>
    </row>
    <row r="69" spans="1:24" x14ac:dyDescent="0.2">
      <c r="A69" s="10" t="s">
        <v>932</v>
      </c>
      <c r="B69" s="10" t="s">
        <v>933</v>
      </c>
      <c r="C69" s="13">
        <v>-4.8221999999999996</v>
      </c>
      <c r="D69" s="13" t="s">
        <v>658</v>
      </c>
      <c r="E69" s="13" t="s">
        <v>658</v>
      </c>
      <c r="F69" s="13" t="s">
        <v>658</v>
      </c>
      <c r="G69" s="13" t="s">
        <v>658</v>
      </c>
      <c r="H69" s="13" t="s">
        <v>658</v>
      </c>
      <c r="I69" s="13" t="s">
        <v>658</v>
      </c>
      <c r="J69" s="13" t="s">
        <v>658</v>
      </c>
      <c r="K69" s="13" t="s">
        <v>658</v>
      </c>
      <c r="L69" s="13" t="s">
        <v>658</v>
      </c>
      <c r="M69" s="13" t="s">
        <v>658</v>
      </c>
      <c r="N69" s="13" t="s">
        <v>658</v>
      </c>
      <c r="O69" s="13" t="s">
        <v>658</v>
      </c>
      <c r="P69" s="13" t="s">
        <v>658</v>
      </c>
      <c r="Q69" s="13" t="s">
        <v>658</v>
      </c>
      <c r="R69" s="13" t="s">
        <v>658</v>
      </c>
      <c r="S69" s="13" t="s">
        <v>658</v>
      </c>
      <c r="T69" s="13" t="s">
        <v>658</v>
      </c>
      <c r="U69" s="13" t="s">
        <v>658</v>
      </c>
      <c r="V69" s="13" t="s">
        <v>658</v>
      </c>
      <c r="W69" s="13" t="s">
        <v>658</v>
      </c>
      <c r="X69" s="13" t="s">
        <v>658</v>
      </c>
    </row>
    <row r="70" spans="1:24" x14ac:dyDescent="0.2">
      <c r="A70" s="6" t="s">
        <v>934</v>
      </c>
      <c r="B70" s="6" t="s">
        <v>935</v>
      </c>
      <c r="C70" s="19">
        <v>-288.54559999999998</v>
      </c>
      <c r="D70" s="19">
        <v>-742.60799999999995</v>
      </c>
      <c r="E70" s="19">
        <v>73.322599999999994</v>
      </c>
      <c r="F70" s="19">
        <v>-98.676599999999993</v>
      </c>
      <c r="G70" s="19">
        <v>-12.6082</v>
      </c>
      <c r="H70" s="19">
        <v>162.3682</v>
      </c>
      <c r="I70" s="19">
        <v>85.160200000000003</v>
      </c>
      <c r="J70" s="19">
        <v>-19.391200000000001</v>
      </c>
      <c r="K70" s="19">
        <v>-442.73599999999999</v>
      </c>
      <c r="L70" s="19">
        <v>-336.59089999999998</v>
      </c>
      <c r="M70" s="19">
        <v>-981.20730000000003</v>
      </c>
      <c r="N70" s="19">
        <v>-145.0078</v>
      </c>
      <c r="O70" s="19">
        <v>-519.6</v>
      </c>
      <c r="P70" s="19">
        <v>-186.86</v>
      </c>
      <c r="Q70" s="19">
        <v>-348.07</v>
      </c>
      <c r="R70" s="19">
        <v>-647.76</v>
      </c>
      <c r="S70" s="19">
        <v>-96.5</v>
      </c>
      <c r="T70" s="19">
        <v>-792.95</v>
      </c>
      <c r="U70" s="19">
        <v>-1341.93</v>
      </c>
      <c r="V70" s="19">
        <v>-989.6</v>
      </c>
      <c r="W70" s="19">
        <v>-1793.5</v>
      </c>
      <c r="X70" s="19">
        <v>-2492.3000000000002</v>
      </c>
    </row>
    <row r="71" spans="1:24" x14ac:dyDescent="0.2">
      <c r="A71" s="10" t="s">
        <v>936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spans="1:24" x14ac:dyDescent="0.2">
      <c r="A72" s="10" t="s">
        <v>937</v>
      </c>
      <c r="B72" s="10" t="s">
        <v>938</v>
      </c>
      <c r="C72" s="13">
        <v>-15.3246</v>
      </c>
      <c r="D72" s="13">
        <v>-90.789500000000004</v>
      </c>
      <c r="E72" s="13">
        <v>-101.5155</v>
      </c>
      <c r="F72" s="13">
        <v>-111.8463</v>
      </c>
      <c r="G72" s="13" t="s">
        <v>658</v>
      </c>
      <c r="H72" s="13">
        <v>-30.5639</v>
      </c>
      <c r="I72" s="13">
        <v>-91.357900000000001</v>
      </c>
      <c r="J72" s="13">
        <v>-107.2867</v>
      </c>
      <c r="K72" s="13">
        <v>-44.212000000000003</v>
      </c>
      <c r="L72" s="13">
        <v>-77.811999999999998</v>
      </c>
      <c r="M72" s="13">
        <v>-92.885300000000001</v>
      </c>
      <c r="N72" s="13">
        <v>-155.21700000000001</v>
      </c>
      <c r="O72" s="13">
        <v>-80.39</v>
      </c>
      <c r="P72" s="13">
        <v>-17.739999999999998</v>
      </c>
      <c r="Q72" s="13">
        <v>-73.680000000000007</v>
      </c>
      <c r="R72" s="13">
        <v>-24.57</v>
      </c>
      <c r="S72" s="13">
        <v>-68.87</v>
      </c>
      <c r="T72" s="13">
        <v>0</v>
      </c>
      <c r="U72" s="13">
        <v>-147.37</v>
      </c>
      <c r="V72" s="13">
        <v>-73.7</v>
      </c>
      <c r="W72" s="13">
        <v>-298</v>
      </c>
      <c r="X72" s="13">
        <v>-295.10000000000002</v>
      </c>
    </row>
    <row r="73" spans="1:24" x14ac:dyDescent="0.2">
      <c r="A73" s="10" t="s">
        <v>939</v>
      </c>
      <c r="B73" s="10" t="s">
        <v>940</v>
      </c>
      <c r="C73" s="13" t="s">
        <v>658</v>
      </c>
      <c r="D73" s="13" t="s">
        <v>658</v>
      </c>
      <c r="E73" s="13" t="s">
        <v>658</v>
      </c>
      <c r="F73" s="13" t="s">
        <v>658</v>
      </c>
      <c r="G73" s="13" t="s">
        <v>658</v>
      </c>
      <c r="H73" s="13" t="s">
        <v>658</v>
      </c>
      <c r="I73" s="13" t="s">
        <v>658</v>
      </c>
      <c r="J73" s="13" t="s">
        <v>658</v>
      </c>
      <c r="K73" s="13" t="s">
        <v>658</v>
      </c>
      <c r="L73" s="13" t="s">
        <v>658</v>
      </c>
      <c r="M73" s="13" t="s">
        <v>658</v>
      </c>
      <c r="N73" s="13" t="s">
        <v>658</v>
      </c>
      <c r="O73" s="13" t="s">
        <v>658</v>
      </c>
      <c r="P73" s="13" t="s">
        <v>658</v>
      </c>
      <c r="Q73" s="13">
        <v>453.61</v>
      </c>
      <c r="R73" s="13" t="s">
        <v>658</v>
      </c>
      <c r="S73" s="13" t="s">
        <v>658</v>
      </c>
      <c r="T73" s="13" t="s">
        <v>658</v>
      </c>
      <c r="U73" s="13">
        <v>480</v>
      </c>
      <c r="V73" s="13" t="s">
        <v>658</v>
      </c>
      <c r="W73" s="13" t="s">
        <v>658</v>
      </c>
      <c r="X73" s="13">
        <v>209</v>
      </c>
    </row>
    <row r="74" spans="1:24" x14ac:dyDescent="0.2">
      <c r="A74" s="10" t="s">
        <v>941</v>
      </c>
      <c r="B74" s="10" t="s">
        <v>942</v>
      </c>
      <c r="C74" s="13">
        <v>-42.209600000000002</v>
      </c>
      <c r="D74" s="13" t="s">
        <v>658</v>
      </c>
      <c r="E74" s="13" t="s">
        <v>658</v>
      </c>
      <c r="F74" s="13" t="s">
        <v>658</v>
      </c>
      <c r="G74" s="13" t="s">
        <v>658</v>
      </c>
      <c r="H74" s="13">
        <v>-8.9510000000000005</v>
      </c>
      <c r="I74" s="13" t="s">
        <v>658</v>
      </c>
      <c r="J74" s="13" t="s">
        <v>658</v>
      </c>
      <c r="K74" s="13" t="s">
        <v>658</v>
      </c>
      <c r="L74" s="13" t="s">
        <v>658</v>
      </c>
      <c r="M74" s="13" t="s">
        <v>658</v>
      </c>
      <c r="N74" s="13" t="s">
        <v>658</v>
      </c>
      <c r="O74" s="13" t="s">
        <v>658</v>
      </c>
      <c r="P74" s="13">
        <v>-181.26</v>
      </c>
      <c r="Q74" s="13" t="s">
        <v>658</v>
      </c>
      <c r="R74" s="13">
        <v>-299.16000000000003</v>
      </c>
      <c r="S74" s="13">
        <v>605.86</v>
      </c>
      <c r="T74" s="13">
        <v>-964.64</v>
      </c>
      <c r="U74" s="13" t="s">
        <v>658</v>
      </c>
      <c r="V74" s="13">
        <v>-480</v>
      </c>
      <c r="W74" s="13">
        <v>0</v>
      </c>
      <c r="X74" s="13" t="s">
        <v>658</v>
      </c>
    </row>
    <row r="75" spans="1:24" x14ac:dyDescent="0.2">
      <c r="A75" s="10" t="s">
        <v>943</v>
      </c>
      <c r="B75" s="10" t="s">
        <v>944</v>
      </c>
      <c r="C75" s="13">
        <v>58.2821</v>
      </c>
      <c r="D75" s="13" t="s">
        <v>658</v>
      </c>
      <c r="E75" s="13" t="s">
        <v>658</v>
      </c>
      <c r="F75" s="13" t="s">
        <v>658</v>
      </c>
      <c r="G75" s="13" t="s">
        <v>658</v>
      </c>
      <c r="H75" s="13" t="s">
        <v>658</v>
      </c>
      <c r="I75" s="13" t="s">
        <v>658</v>
      </c>
      <c r="J75" s="13" t="s">
        <v>658</v>
      </c>
      <c r="K75" s="13" t="s">
        <v>658</v>
      </c>
      <c r="L75" s="13" t="s">
        <v>658</v>
      </c>
      <c r="M75" s="13" t="s">
        <v>658</v>
      </c>
      <c r="N75" s="13" t="s">
        <v>658</v>
      </c>
      <c r="O75" s="13" t="s">
        <v>658</v>
      </c>
      <c r="P75" s="13" t="s">
        <v>658</v>
      </c>
      <c r="Q75" s="13" t="s">
        <v>658</v>
      </c>
      <c r="R75" s="13" t="s">
        <v>658</v>
      </c>
      <c r="S75" s="13" t="s">
        <v>658</v>
      </c>
      <c r="T75" s="13" t="s">
        <v>658</v>
      </c>
      <c r="U75" s="13" t="s">
        <v>658</v>
      </c>
      <c r="V75" s="13" t="s">
        <v>658</v>
      </c>
      <c r="W75" s="13" t="s">
        <v>658</v>
      </c>
      <c r="X75" s="13">
        <v>1357.8</v>
      </c>
    </row>
    <row r="76" spans="1:24" x14ac:dyDescent="0.2">
      <c r="A76" s="10" t="s">
        <v>945</v>
      </c>
      <c r="B76" s="10" t="s">
        <v>946</v>
      </c>
      <c r="C76" s="13" t="s">
        <v>658</v>
      </c>
      <c r="D76" s="13">
        <v>-92.140100000000004</v>
      </c>
      <c r="E76" s="13" t="s">
        <v>658</v>
      </c>
      <c r="F76" s="13" t="s">
        <v>658</v>
      </c>
      <c r="G76" s="13" t="s">
        <v>658</v>
      </c>
      <c r="H76" s="13">
        <v>-23.7102</v>
      </c>
      <c r="I76" s="13">
        <v>-51.766500000000001</v>
      </c>
      <c r="J76" s="13" t="s">
        <v>658</v>
      </c>
      <c r="K76" s="13" t="s">
        <v>658</v>
      </c>
      <c r="L76" s="13">
        <v>-80.935699999999997</v>
      </c>
      <c r="M76" s="13" t="s">
        <v>658</v>
      </c>
      <c r="N76" s="13" t="s">
        <v>658</v>
      </c>
      <c r="O76" s="13" t="s">
        <v>658</v>
      </c>
      <c r="P76" s="13">
        <v>-169.51</v>
      </c>
      <c r="Q76" s="13">
        <v>-342.3</v>
      </c>
      <c r="R76" s="13">
        <v>0</v>
      </c>
      <c r="S76" s="13">
        <v>0</v>
      </c>
      <c r="T76" s="13">
        <v>0</v>
      </c>
      <c r="U76" s="13">
        <v>0</v>
      </c>
      <c r="V76" s="13" t="s">
        <v>658</v>
      </c>
      <c r="W76" s="13" t="s">
        <v>658</v>
      </c>
      <c r="X76" s="13" t="s">
        <v>658</v>
      </c>
    </row>
    <row r="77" spans="1:24" x14ac:dyDescent="0.2">
      <c r="A77" s="10" t="s">
        <v>947</v>
      </c>
      <c r="B77" s="10" t="s">
        <v>948</v>
      </c>
      <c r="C77" s="13" t="s">
        <v>658</v>
      </c>
      <c r="D77" s="13" t="s">
        <v>658</v>
      </c>
      <c r="E77" s="13" t="s">
        <v>658</v>
      </c>
      <c r="F77" s="13" t="s">
        <v>658</v>
      </c>
      <c r="G77" s="13" t="s">
        <v>658</v>
      </c>
      <c r="H77" s="13" t="s">
        <v>658</v>
      </c>
      <c r="I77" s="13" t="s">
        <v>658</v>
      </c>
      <c r="J77" s="13">
        <v>61.603099999999998</v>
      </c>
      <c r="K77" s="13">
        <v>370.21600000000001</v>
      </c>
      <c r="L77" s="13" t="s">
        <v>658</v>
      </c>
      <c r="M77" s="13">
        <v>522.55949999999996</v>
      </c>
      <c r="N77" s="13">
        <v>9.5675000000000008</v>
      </c>
      <c r="O77" s="13">
        <v>-21.04</v>
      </c>
      <c r="P77" s="13" t="s">
        <v>658</v>
      </c>
      <c r="Q77" s="13" t="s">
        <v>658</v>
      </c>
      <c r="R77" s="13" t="s">
        <v>658</v>
      </c>
      <c r="S77" s="13" t="s">
        <v>658</v>
      </c>
      <c r="T77" s="13" t="s">
        <v>658</v>
      </c>
      <c r="U77" s="13" t="s">
        <v>658</v>
      </c>
      <c r="V77" s="13" t="s">
        <v>658</v>
      </c>
      <c r="W77" s="13" t="s">
        <v>658</v>
      </c>
      <c r="X77" s="13" t="s">
        <v>658</v>
      </c>
    </row>
    <row r="78" spans="1:24" x14ac:dyDescent="0.2">
      <c r="A78" s="10" t="s">
        <v>949</v>
      </c>
      <c r="B78" s="10" t="s">
        <v>950</v>
      </c>
      <c r="C78" s="13">
        <v>139.99979999999999</v>
      </c>
      <c r="D78" s="13">
        <v>937.6866</v>
      </c>
      <c r="E78" s="13">
        <v>1.2825</v>
      </c>
      <c r="F78" s="13">
        <v>0.5</v>
      </c>
      <c r="G78" s="13" t="s">
        <v>658</v>
      </c>
      <c r="H78" s="13">
        <v>3.7374999999999998</v>
      </c>
      <c r="I78" s="13">
        <v>0.17499999999999999</v>
      </c>
      <c r="J78" s="13">
        <v>20</v>
      </c>
      <c r="K78" s="13" t="s">
        <v>658</v>
      </c>
      <c r="L78" s="13" t="s">
        <v>658</v>
      </c>
      <c r="M78" s="13" t="s">
        <v>658</v>
      </c>
      <c r="N78" s="13" t="s">
        <v>658</v>
      </c>
      <c r="O78" s="13" t="s">
        <v>658</v>
      </c>
      <c r="P78" s="13" t="s">
        <v>658</v>
      </c>
      <c r="Q78" s="13" t="s">
        <v>658</v>
      </c>
      <c r="R78" s="13" t="s">
        <v>658</v>
      </c>
      <c r="S78" s="13" t="s">
        <v>658</v>
      </c>
      <c r="T78" s="13" t="s">
        <v>658</v>
      </c>
      <c r="U78" s="13">
        <v>0</v>
      </c>
      <c r="V78" s="13" t="s">
        <v>658</v>
      </c>
      <c r="W78" s="13">
        <v>0.2</v>
      </c>
      <c r="X78" s="13">
        <v>0.5</v>
      </c>
    </row>
    <row r="79" spans="1:24" x14ac:dyDescent="0.2">
      <c r="A79" s="10" t="s">
        <v>951</v>
      </c>
      <c r="B79" s="10" t="s">
        <v>952</v>
      </c>
      <c r="C79" s="13" t="s">
        <v>658</v>
      </c>
      <c r="D79" s="13" t="s">
        <v>658</v>
      </c>
      <c r="E79" s="13" t="s">
        <v>658</v>
      </c>
      <c r="F79" s="13" t="s">
        <v>658</v>
      </c>
      <c r="G79" s="13" t="s">
        <v>658</v>
      </c>
      <c r="H79" s="13" t="s">
        <v>658</v>
      </c>
      <c r="I79" s="13" t="s">
        <v>658</v>
      </c>
      <c r="J79" s="13">
        <v>-0.1424</v>
      </c>
      <c r="K79" s="13">
        <v>7.1963999999999997</v>
      </c>
      <c r="L79" s="13">
        <v>-2.0114000000000001</v>
      </c>
      <c r="M79" s="13">
        <v>-4.5048000000000004</v>
      </c>
      <c r="N79" s="13">
        <v>-8.7865000000000002</v>
      </c>
      <c r="O79" s="13">
        <v>-62.77</v>
      </c>
      <c r="P79" s="13" t="s">
        <v>658</v>
      </c>
      <c r="Q79" s="13" t="s">
        <v>658</v>
      </c>
      <c r="R79" s="13">
        <v>0</v>
      </c>
      <c r="S79" s="13">
        <v>-0.33</v>
      </c>
      <c r="T79" s="13">
        <v>-192.19</v>
      </c>
      <c r="U79" s="13">
        <v>-0.1</v>
      </c>
      <c r="V79" s="13">
        <v>0</v>
      </c>
      <c r="W79" s="13">
        <v>0</v>
      </c>
      <c r="X79" s="13" t="s">
        <v>658</v>
      </c>
    </row>
    <row r="80" spans="1:24" x14ac:dyDescent="0.2">
      <c r="A80" s="10" t="s">
        <v>953</v>
      </c>
      <c r="B80" s="10" t="s">
        <v>954</v>
      </c>
      <c r="C80" s="13" t="s">
        <v>658</v>
      </c>
      <c r="D80" s="13" t="s">
        <v>658</v>
      </c>
      <c r="E80" s="13" t="s">
        <v>658</v>
      </c>
      <c r="F80" s="13" t="s">
        <v>658</v>
      </c>
      <c r="G80" s="13" t="s">
        <v>658</v>
      </c>
      <c r="H80" s="13" t="s">
        <v>658</v>
      </c>
      <c r="I80" s="13" t="s">
        <v>658</v>
      </c>
      <c r="J80" s="13" t="s">
        <v>658</v>
      </c>
      <c r="K80" s="13" t="s">
        <v>658</v>
      </c>
      <c r="L80" s="13" t="s">
        <v>658</v>
      </c>
      <c r="M80" s="13" t="s">
        <v>658</v>
      </c>
      <c r="N80" s="13" t="s">
        <v>658</v>
      </c>
      <c r="O80" s="13" t="s">
        <v>658</v>
      </c>
      <c r="P80" s="13">
        <v>-150</v>
      </c>
      <c r="Q80" s="13">
        <v>-26.49</v>
      </c>
      <c r="R80" s="13" t="s">
        <v>658</v>
      </c>
      <c r="S80" s="13">
        <v>0</v>
      </c>
      <c r="T80" s="13">
        <v>4.05</v>
      </c>
      <c r="U80" s="13" t="s">
        <v>658</v>
      </c>
      <c r="V80" s="13" t="s">
        <v>658</v>
      </c>
      <c r="W80" s="13" t="s">
        <v>658</v>
      </c>
      <c r="X80" s="13" t="s">
        <v>658</v>
      </c>
    </row>
    <row r="81" spans="1:24" x14ac:dyDescent="0.2">
      <c r="A81" s="10" t="s">
        <v>955</v>
      </c>
      <c r="B81" s="10" t="s">
        <v>956</v>
      </c>
      <c r="C81" s="13">
        <v>-6.8352000000000004</v>
      </c>
      <c r="D81" s="13">
        <v>-1.2789999999999999</v>
      </c>
      <c r="E81" s="13" t="s">
        <v>658</v>
      </c>
      <c r="F81" s="13" t="s">
        <v>658</v>
      </c>
      <c r="G81" s="13" t="s">
        <v>658</v>
      </c>
      <c r="H81" s="13" t="s">
        <v>658</v>
      </c>
      <c r="I81" s="13">
        <v>-2.7263999999999999</v>
      </c>
      <c r="J81" s="13">
        <v>-2.8351000000000002</v>
      </c>
      <c r="K81" s="13">
        <v>-16.135000000000002</v>
      </c>
      <c r="L81" s="13">
        <v>-16.310600000000001</v>
      </c>
      <c r="M81" s="13">
        <v>-39.8371</v>
      </c>
      <c r="N81" s="13">
        <v>-67.536900000000003</v>
      </c>
      <c r="O81" s="13" t="s">
        <v>658</v>
      </c>
      <c r="P81" s="13" t="s">
        <v>658</v>
      </c>
      <c r="Q81" s="13" t="s">
        <v>658</v>
      </c>
      <c r="R81" s="13" t="s">
        <v>658</v>
      </c>
      <c r="S81" s="13" t="s">
        <v>658</v>
      </c>
      <c r="T81" s="13" t="s">
        <v>658</v>
      </c>
      <c r="U81" s="13" t="s">
        <v>658</v>
      </c>
      <c r="V81" s="13" t="s">
        <v>658</v>
      </c>
      <c r="W81" s="13" t="s">
        <v>658</v>
      </c>
      <c r="X81" s="13" t="s">
        <v>658</v>
      </c>
    </row>
    <row r="82" spans="1:24" x14ac:dyDescent="0.2">
      <c r="A82" s="10" t="s">
        <v>957</v>
      </c>
      <c r="B82" s="10" t="s">
        <v>958</v>
      </c>
      <c r="C82" s="13">
        <v>34.856099999999998</v>
      </c>
      <c r="D82" s="13">
        <v>-28.286100000000001</v>
      </c>
      <c r="E82" s="13">
        <v>28.9619</v>
      </c>
      <c r="F82" s="13">
        <v>25.867000000000001</v>
      </c>
      <c r="G82" s="13">
        <v>-63.606900000000003</v>
      </c>
      <c r="H82" s="13">
        <v>177.46619999999999</v>
      </c>
      <c r="I82" s="13">
        <v>-69.763999999999996</v>
      </c>
      <c r="J82" s="13">
        <v>-49.091999999999999</v>
      </c>
      <c r="K82" s="13">
        <v>173.54599999999999</v>
      </c>
      <c r="L82" s="13">
        <v>-32.104199999999999</v>
      </c>
      <c r="M82" s="13">
        <v>244.9408</v>
      </c>
      <c r="N82" s="13">
        <v>193.5642</v>
      </c>
      <c r="O82" s="13">
        <v>28.76</v>
      </c>
      <c r="P82" s="13">
        <v>77.25</v>
      </c>
      <c r="Q82" s="13">
        <v>141.21</v>
      </c>
      <c r="R82" s="13">
        <v>-121.66</v>
      </c>
      <c r="S82" s="13">
        <v>1252.32</v>
      </c>
      <c r="T82" s="13">
        <v>-765.03</v>
      </c>
      <c r="U82" s="13">
        <v>688.98</v>
      </c>
      <c r="V82" s="13">
        <v>-346.9</v>
      </c>
      <c r="W82" s="13">
        <v>-339.4</v>
      </c>
      <c r="X82" s="13">
        <v>934</v>
      </c>
    </row>
    <row r="83" spans="1:24" x14ac:dyDescent="0.2">
      <c r="A83" s="10" t="s">
        <v>959</v>
      </c>
      <c r="B83" s="10" t="s">
        <v>960</v>
      </c>
      <c r="C83" s="13">
        <v>91.092699999999994</v>
      </c>
      <c r="D83" s="13">
        <v>62.806600000000003</v>
      </c>
      <c r="E83" s="13">
        <v>91.768500000000003</v>
      </c>
      <c r="F83" s="13">
        <v>117.63549999999999</v>
      </c>
      <c r="G83" s="13">
        <v>54.028599999999997</v>
      </c>
      <c r="H83" s="13">
        <v>212.59970000000001</v>
      </c>
      <c r="I83" s="13">
        <v>142.8357</v>
      </c>
      <c r="J83" s="13">
        <v>88.004599999999996</v>
      </c>
      <c r="K83" s="13">
        <v>270.51729999999998</v>
      </c>
      <c r="L83" s="13">
        <v>238.89750000000001</v>
      </c>
      <c r="M83" s="13">
        <v>472.64690000000002</v>
      </c>
      <c r="N83" s="13">
        <v>716.44449999999995</v>
      </c>
      <c r="O83" s="13">
        <v>627.85</v>
      </c>
      <c r="P83" s="13">
        <v>696.25</v>
      </c>
      <c r="Q83" s="13">
        <v>817.84</v>
      </c>
      <c r="R83" s="13">
        <v>696.18</v>
      </c>
      <c r="S83" s="13">
        <v>1948.17</v>
      </c>
      <c r="T83" s="13">
        <v>990.95</v>
      </c>
      <c r="U83" s="13">
        <v>1679.83</v>
      </c>
      <c r="V83" s="13">
        <v>1332.9</v>
      </c>
      <c r="W83" s="13">
        <v>993.6</v>
      </c>
      <c r="X83" s="13">
        <v>2176.4</v>
      </c>
    </row>
    <row r="84" spans="1:24" x14ac:dyDescent="0.2">
      <c r="A84" s="10" t="s">
        <v>961</v>
      </c>
      <c r="B84" s="10" t="s">
        <v>962</v>
      </c>
      <c r="C84" s="13" t="s">
        <v>658</v>
      </c>
      <c r="D84" s="13" t="s">
        <v>658</v>
      </c>
      <c r="E84" s="13" t="s">
        <v>658</v>
      </c>
      <c r="F84" s="13" t="s">
        <v>658</v>
      </c>
      <c r="G84" s="13" t="s">
        <v>658</v>
      </c>
      <c r="H84" s="13" t="s">
        <v>658</v>
      </c>
      <c r="I84" s="13" t="s">
        <v>658</v>
      </c>
      <c r="J84" s="13" t="s">
        <v>658</v>
      </c>
      <c r="K84" s="13" t="s">
        <v>658</v>
      </c>
      <c r="L84" s="13" t="s">
        <v>658</v>
      </c>
      <c r="M84" s="13">
        <v>771.75810000000001</v>
      </c>
      <c r="N84" s="13">
        <v>0</v>
      </c>
      <c r="O84" s="13" t="s">
        <v>658</v>
      </c>
      <c r="P84" s="13" t="s">
        <v>658</v>
      </c>
      <c r="Q84" s="13" t="s">
        <v>658</v>
      </c>
      <c r="R84" s="13" t="s">
        <v>658</v>
      </c>
      <c r="S84" s="13" t="s">
        <v>658</v>
      </c>
      <c r="T84" s="13" t="s">
        <v>658</v>
      </c>
      <c r="U84" s="13" t="s">
        <v>658</v>
      </c>
      <c r="V84" s="13" t="s">
        <v>658</v>
      </c>
      <c r="W84" s="13" t="s">
        <v>658</v>
      </c>
      <c r="X84" s="13" t="s">
        <v>658</v>
      </c>
    </row>
    <row r="85" spans="1:24" x14ac:dyDescent="0.2">
      <c r="A85" s="10" t="s">
        <v>963</v>
      </c>
      <c r="B85" s="10" t="s">
        <v>964</v>
      </c>
      <c r="C85" s="13" t="s">
        <v>658</v>
      </c>
      <c r="D85" s="13" t="s">
        <v>658</v>
      </c>
      <c r="E85" s="13" t="s">
        <v>658</v>
      </c>
      <c r="F85" s="13" t="s">
        <v>658</v>
      </c>
      <c r="G85" s="13" t="s">
        <v>658</v>
      </c>
      <c r="H85" s="13" t="s">
        <v>658</v>
      </c>
      <c r="I85" s="13">
        <v>-206.5</v>
      </c>
      <c r="J85" s="13">
        <v>-3.5</v>
      </c>
      <c r="K85" s="13" t="s">
        <v>658</v>
      </c>
      <c r="L85" s="13" t="s">
        <v>658</v>
      </c>
      <c r="M85" s="13" t="s">
        <v>658</v>
      </c>
      <c r="N85" s="13" t="s">
        <v>658</v>
      </c>
      <c r="O85" s="13" t="s">
        <v>658</v>
      </c>
      <c r="P85" s="13" t="s">
        <v>658</v>
      </c>
      <c r="Q85" s="13" t="s">
        <v>658</v>
      </c>
      <c r="R85" s="13" t="s">
        <v>658</v>
      </c>
      <c r="S85" s="13" t="s">
        <v>658</v>
      </c>
      <c r="T85" s="13" t="s">
        <v>658</v>
      </c>
      <c r="U85" s="13" t="s">
        <v>658</v>
      </c>
      <c r="V85" s="13" t="s">
        <v>658</v>
      </c>
      <c r="W85" s="13" t="s">
        <v>658</v>
      </c>
      <c r="X85" s="13" t="s">
        <v>658</v>
      </c>
    </row>
    <row r="86" spans="1:24" x14ac:dyDescent="0.2">
      <c r="A86" s="10" t="s">
        <v>965</v>
      </c>
      <c r="B86" s="10" t="s">
        <v>966</v>
      </c>
      <c r="C86" s="13">
        <v>56.236600000000003</v>
      </c>
      <c r="D86" s="13">
        <v>91.092699999999994</v>
      </c>
      <c r="E86" s="13">
        <v>62.806600000000003</v>
      </c>
      <c r="F86" s="13">
        <v>91.768500000000003</v>
      </c>
      <c r="G86" s="13">
        <v>117.63549999999999</v>
      </c>
      <c r="H86" s="13">
        <v>72.923599999999993</v>
      </c>
      <c r="I86" s="13">
        <v>212.59970000000001</v>
      </c>
      <c r="J86" s="13">
        <v>127.0463</v>
      </c>
      <c r="K86" s="13">
        <v>77.811899999999994</v>
      </c>
      <c r="L86" s="13">
        <v>258.55430000000001</v>
      </c>
      <c r="M86" s="13">
        <v>224.43870000000001</v>
      </c>
      <c r="N86" s="13">
        <v>464.87459999999999</v>
      </c>
      <c r="O86" s="13">
        <v>649.65</v>
      </c>
      <c r="P86" s="13">
        <v>615.64</v>
      </c>
      <c r="Q86" s="13">
        <v>676.63</v>
      </c>
      <c r="R86" s="13">
        <v>817.84</v>
      </c>
      <c r="S86" s="13">
        <v>696.18</v>
      </c>
      <c r="T86" s="13">
        <v>1948.17</v>
      </c>
      <c r="U86" s="13">
        <v>990.95</v>
      </c>
      <c r="V86" s="13">
        <v>1679.8</v>
      </c>
      <c r="W86" s="13">
        <v>1333</v>
      </c>
      <c r="X86" s="13">
        <v>993.6</v>
      </c>
    </row>
    <row r="87" spans="1:24" x14ac:dyDescent="0.2">
      <c r="A87" s="10" t="s">
        <v>967</v>
      </c>
      <c r="B87" s="10" t="s">
        <v>968</v>
      </c>
      <c r="C87" s="13" t="s">
        <v>658</v>
      </c>
      <c r="D87" s="13" t="s">
        <v>658</v>
      </c>
      <c r="E87" s="13" t="s">
        <v>658</v>
      </c>
      <c r="F87" s="13" t="s">
        <v>658</v>
      </c>
      <c r="G87" s="13" t="s">
        <v>658</v>
      </c>
      <c r="H87" s="13" t="s">
        <v>658</v>
      </c>
      <c r="I87" s="13" t="s">
        <v>658</v>
      </c>
      <c r="J87" s="13" t="s">
        <v>658</v>
      </c>
      <c r="K87" s="13" t="s">
        <v>658</v>
      </c>
      <c r="L87" s="13" t="s">
        <v>658</v>
      </c>
      <c r="M87" s="13" t="s">
        <v>658</v>
      </c>
      <c r="N87" s="13" t="s">
        <v>658</v>
      </c>
      <c r="O87" s="13" t="s">
        <v>658</v>
      </c>
      <c r="P87" s="13" t="s">
        <v>658</v>
      </c>
      <c r="Q87" s="13" t="s">
        <v>658</v>
      </c>
      <c r="R87" s="13" t="s">
        <v>658</v>
      </c>
      <c r="S87" s="13" t="s">
        <v>658</v>
      </c>
      <c r="T87" s="13" t="s">
        <v>658</v>
      </c>
      <c r="U87" s="13" t="s">
        <v>658</v>
      </c>
      <c r="V87" s="13" t="s">
        <v>658</v>
      </c>
      <c r="W87" s="13">
        <v>0.1</v>
      </c>
      <c r="X87" s="13" t="s">
        <v>658</v>
      </c>
    </row>
    <row r="88" spans="1:24" x14ac:dyDescent="0.2">
      <c r="A88" s="10" t="s">
        <v>969</v>
      </c>
      <c r="B88" s="10" t="s">
        <v>970</v>
      </c>
      <c r="C88" s="13">
        <v>-1.9659</v>
      </c>
      <c r="D88" s="13">
        <v>-11.8264</v>
      </c>
      <c r="E88" s="13">
        <v>-14.2393</v>
      </c>
      <c r="F88" s="13">
        <v>-15.686400000000001</v>
      </c>
      <c r="G88" s="13" t="s">
        <v>658</v>
      </c>
      <c r="H88" s="13">
        <v>-5.1943000000000001</v>
      </c>
      <c r="I88" s="13">
        <v>-15.526300000000001</v>
      </c>
      <c r="J88" s="13">
        <v>-17.818999999999999</v>
      </c>
      <c r="K88" s="13">
        <v>-9.9626000000000001</v>
      </c>
      <c r="L88" s="13">
        <v>-18.390499999999999</v>
      </c>
      <c r="M88" s="13">
        <v>-12.873900000000001</v>
      </c>
      <c r="N88" s="13">
        <v>-26.380700000000001</v>
      </c>
      <c r="O88" s="13">
        <v>-16.37</v>
      </c>
      <c r="P88" s="13" t="s">
        <v>658</v>
      </c>
      <c r="Q88" s="13" t="s">
        <v>658</v>
      </c>
      <c r="R88" s="13" t="s">
        <v>658</v>
      </c>
      <c r="S88" s="13" t="s">
        <v>658</v>
      </c>
      <c r="T88" s="13" t="s">
        <v>658</v>
      </c>
      <c r="U88" s="13" t="s">
        <v>658</v>
      </c>
      <c r="V88" s="13" t="s">
        <v>658</v>
      </c>
      <c r="W88" s="13" t="s">
        <v>658</v>
      </c>
      <c r="X88" s="13" t="s">
        <v>658</v>
      </c>
    </row>
    <row r="89" spans="1:24" x14ac:dyDescent="0.2">
      <c r="A89" s="10" t="s">
        <v>971</v>
      </c>
      <c r="B89" s="10" t="s">
        <v>972</v>
      </c>
      <c r="C89" s="13" t="s">
        <v>658</v>
      </c>
      <c r="D89" s="13" t="s">
        <v>658</v>
      </c>
      <c r="E89" s="13" t="s">
        <v>658</v>
      </c>
      <c r="F89" s="13" t="s">
        <v>658</v>
      </c>
      <c r="G89" s="13" t="s">
        <v>658</v>
      </c>
      <c r="H89" s="13">
        <v>-7.3590999999999998</v>
      </c>
      <c r="I89" s="13" t="s">
        <v>658</v>
      </c>
      <c r="J89" s="13" t="s">
        <v>658</v>
      </c>
      <c r="K89" s="13" t="s">
        <v>658</v>
      </c>
      <c r="L89" s="13" t="s">
        <v>658</v>
      </c>
      <c r="M89" s="13" t="s">
        <v>658</v>
      </c>
      <c r="N89" s="13" t="s">
        <v>658</v>
      </c>
      <c r="O89" s="13">
        <v>-66.61</v>
      </c>
      <c r="P89" s="13">
        <v>-48.43</v>
      </c>
      <c r="Q89" s="13">
        <v>-49.49</v>
      </c>
      <c r="R89" s="13">
        <v>-46.24</v>
      </c>
      <c r="S89" s="13">
        <v>-22.98</v>
      </c>
      <c r="T89" s="13">
        <v>-29.24</v>
      </c>
      <c r="U89" s="13">
        <v>-23.24</v>
      </c>
      <c r="V89" s="13">
        <v>-25.5</v>
      </c>
      <c r="W89" s="13">
        <v>-1.1000000000000001</v>
      </c>
      <c r="X89" s="13">
        <v>-38.6</v>
      </c>
    </row>
    <row r="90" spans="1:24" x14ac:dyDescent="0.2">
      <c r="A90" s="10" t="s">
        <v>973</v>
      </c>
      <c r="B90" s="10" t="s">
        <v>974</v>
      </c>
      <c r="C90" s="13">
        <v>-13.599500000000001</v>
      </c>
      <c r="D90" s="13">
        <v>-60.865099999999998</v>
      </c>
      <c r="E90" s="13" t="s">
        <v>658</v>
      </c>
      <c r="F90" s="13" t="s">
        <v>658</v>
      </c>
      <c r="G90" s="13" t="s">
        <v>658</v>
      </c>
      <c r="H90" s="13" t="s">
        <v>658</v>
      </c>
      <c r="I90" s="13" t="s">
        <v>658</v>
      </c>
      <c r="J90" s="13" t="s">
        <v>658</v>
      </c>
      <c r="K90" s="13" t="s">
        <v>658</v>
      </c>
      <c r="L90" s="13" t="s">
        <v>658</v>
      </c>
      <c r="M90" s="13" t="s">
        <v>658</v>
      </c>
      <c r="N90" s="13" t="s">
        <v>658</v>
      </c>
      <c r="O90" s="13" t="s">
        <v>658</v>
      </c>
      <c r="P90" s="13" t="s">
        <v>658</v>
      </c>
      <c r="Q90" s="13" t="s">
        <v>658</v>
      </c>
      <c r="R90" s="13" t="s">
        <v>658</v>
      </c>
      <c r="S90" s="13" t="s">
        <v>658</v>
      </c>
      <c r="T90" s="13" t="s">
        <v>658</v>
      </c>
      <c r="U90" s="13" t="s">
        <v>658</v>
      </c>
      <c r="V90" s="13" t="s">
        <v>658</v>
      </c>
      <c r="W90" s="13" t="s">
        <v>658</v>
      </c>
      <c r="X90" s="13" t="s">
        <v>658</v>
      </c>
    </row>
    <row r="91" spans="1:24" x14ac:dyDescent="0.2">
      <c r="A91" s="6" t="s">
        <v>975</v>
      </c>
      <c r="B91" s="6" t="s">
        <v>976</v>
      </c>
      <c r="C91" s="19">
        <v>118.3472</v>
      </c>
      <c r="D91" s="19">
        <v>680.78660000000002</v>
      </c>
      <c r="E91" s="19">
        <v>-114.4723</v>
      </c>
      <c r="F91" s="19">
        <v>-127.03270000000001</v>
      </c>
      <c r="G91" s="19" t="s">
        <v>658</v>
      </c>
      <c r="H91" s="19">
        <v>-72.0411</v>
      </c>
      <c r="I91" s="19">
        <v>-367.70209999999997</v>
      </c>
      <c r="J91" s="19">
        <v>-49.837600000000002</v>
      </c>
      <c r="K91" s="19">
        <v>299.90640000000002</v>
      </c>
      <c r="L91" s="19">
        <v>-193.44880000000001</v>
      </c>
      <c r="M91" s="19">
        <v>1148.7212</v>
      </c>
      <c r="N91" s="19">
        <v>-239.56710000000001</v>
      </c>
      <c r="O91" s="19">
        <v>-184.41</v>
      </c>
      <c r="P91" s="19">
        <v>-566.94000000000005</v>
      </c>
      <c r="Q91" s="19">
        <v>-38.35</v>
      </c>
      <c r="R91" s="19">
        <v>-369.97</v>
      </c>
      <c r="S91" s="19">
        <v>514.01</v>
      </c>
      <c r="T91" s="19">
        <v>-989.83</v>
      </c>
      <c r="U91" s="19">
        <v>207</v>
      </c>
      <c r="V91" s="19">
        <v>-664.4</v>
      </c>
      <c r="W91" s="19">
        <v>-384.6</v>
      </c>
      <c r="X91" s="19">
        <v>1189.0999999999999</v>
      </c>
    </row>
    <row r="92" spans="1:24" x14ac:dyDescent="0.2">
      <c r="A92" s="10" t="s">
        <v>375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 spans="1:24" x14ac:dyDescent="0.2">
      <c r="A93" s="10" t="s">
        <v>959</v>
      </c>
      <c r="B93" s="10" t="s">
        <v>977</v>
      </c>
      <c r="C93" s="13">
        <v>91.092699999999994</v>
      </c>
      <c r="D93" s="13">
        <v>62.806600000000003</v>
      </c>
      <c r="E93" s="13">
        <v>91.768500000000003</v>
      </c>
      <c r="F93" s="13">
        <v>117.63549999999999</v>
      </c>
      <c r="G93" s="13">
        <v>54.028599999999997</v>
      </c>
      <c r="H93" s="13" t="s">
        <v>658</v>
      </c>
      <c r="I93" s="13">
        <v>142.8357</v>
      </c>
      <c r="J93" s="13">
        <v>88.004599999999996</v>
      </c>
      <c r="K93" s="13">
        <v>270.51729999999998</v>
      </c>
      <c r="L93" s="13">
        <v>238.89750000000001</v>
      </c>
      <c r="M93" s="13">
        <v>472.64690000000002</v>
      </c>
      <c r="N93" s="13">
        <v>716.44449999999995</v>
      </c>
      <c r="O93" s="13" t="s">
        <v>658</v>
      </c>
      <c r="P93" s="13" t="s">
        <v>658</v>
      </c>
      <c r="Q93" s="13" t="s">
        <v>658</v>
      </c>
      <c r="R93" s="13" t="s">
        <v>658</v>
      </c>
      <c r="S93" s="13" t="s">
        <v>658</v>
      </c>
      <c r="T93" s="13" t="s">
        <v>658</v>
      </c>
      <c r="U93" s="13" t="s">
        <v>658</v>
      </c>
      <c r="V93" s="13" t="s">
        <v>658</v>
      </c>
      <c r="W93" s="13" t="s">
        <v>658</v>
      </c>
      <c r="X93" s="13" t="s">
        <v>658</v>
      </c>
    </row>
    <row r="94" spans="1:24" x14ac:dyDescent="0.2">
      <c r="A94" s="10" t="s">
        <v>965</v>
      </c>
      <c r="B94" s="10" t="s">
        <v>978</v>
      </c>
      <c r="C94" s="13">
        <v>56.236600000000003</v>
      </c>
      <c r="D94" s="13">
        <v>91.092699999999994</v>
      </c>
      <c r="E94" s="13">
        <v>62.806600000000003</v>
      </c>
      <c r="F94" s="13">
        <v>91.768500000000003</v>
      </c>
      <c r="G94" s="13">
        <v>117.63549999999999</v>
      </c>
      <c r="H94" s="13" t="s">
        <v>658</v>
      </c>
      <c r="I94" s="13">
        <v>212.59970000000001</v>
      </c>
      <c r="J94" s="13">
        <v>127.0463</v>
      </c>
      <c r="K94" s="13">
        <v>77.811899999999994</v>
      </c>
      <c r="L94" s="13">
        <v>258.55430000000001</v>
      </c>
      <c r="M94" s="13">
        <v>224.43870000000001</v>
      </c>
      <c r="N94" s="13">
        <v>464.87459999999999</v>
      </c>
      <c r="O94" s="13" t="s">
        <v>658</v>
      </c>
      <c r="P94" s="13" t="s">
        <v>658</v>
      </c>
      <c r="Q94" s="13" t="s">
        <v>658</v>
      </c>
      <c r="R94" s="13" t="s">
        <v>658</v>
      </c>
      <c r="S94" s="13" t="s">
        <v>658</v>
      </c>
      <c r="T94" s="13" t="s">
        <v>658</v>
      </c>
      <c r="U94" s="13" t="s">
        <v>658</v>
      </c>
      <c r="V94" s="13" t="s">
        <v>658</v>
      </c>
      <c r="W94" s="13" t="s">
        <v>658</v>
      </c>
      <c r="X94" s="13" t="s">
        <v>658</v>
      </c>
    </row>
    <row r="95" spans="1:24" x14ac:dyDescent="0.2">
      <c r="A95" s="7" t="s">
        <v>112</v>
      </c>
      <c r="B95" s="7"/>
      <c r="C95" s="7" t="s">
        <v>3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5"/>
  <sheetViews>
    <sheetView tabSelected="1" workbookViewId="0">
      <selection activeCell="A14" sqref="A14:XFD14"/>
    </sheetView>
  </sheetViews>
  <sheetFormatPr baseColWidth="10" defaultColWidth="8.83203125" defaultRowHeight="15" x14ac:dyDescent="0.2"/>
  <cols>
    <col min="1" max="1" width="35.1640625" customWidth="1"/>
    <col min="2" max="23" width="11.83203125" customWidth="1"/>
  </cols>
  <sheetData>
    <row r="1" spans="1:23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0" x14ac:dyDescent="0.2">
      <c r="A2" s="8" t="s">
        <v>979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">
      <c r="A4" s="3" t="s">
        <v>6</v>
      </c>
      <c r="B4" s="4" t="s">
        <v>114</v>
      </c>
      <c r="C4" s="4" t="s">
        <v>4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</row>
    <row r="5" spans="1:23" x14ac:dyDescent="0.2">
      <c r="A5" s="9" t="s">
        <v>30</v>
      </c>
      <c r="B5" s="5" t="s">
        <v>116</v>
      </c>
      <c r="C5" s="5" t="s">
        <v>31</v>
      </c>
      <c r="D5" s="5" t="s">
        <v>32</v>
      </c>
      <c r="E5" s="5" t="s">
        <v>33</v>
      </c>
      <c r="F5" s="5" t="s">
        <v>34</v>
      </c>
      <c r="G5" s="5" t="s">
        <v>35</v>
      </c>
      <c r="H5" s="5" t="s">
        <v>36</v>
      </c>
      <c r="I5" s="5" t="s">
        <v>37</v>
      </c>
      <c r="J5" s="5" t="s">
        <v>38</v>
      </c>
      <c r="K5" s="5" t="s">
        <v>39</v>
      </c>
      <c r="L5" s="5" t="s">
        <v>40</v>
      </c>
      <c r="M5" s="5" t="s">
        <v>41</v>
      </c>
      <c r="N5" s="5" t="s">
        <v>42</v>
      </c>
      <c r="O5" s="5" t="s">
        <v>43</v>
      </c>
      <c r="P5" s="5" t="s">
        <v>44</v>
      </c>
      <c r="Q5" s="5" t="s">
        <v>45</v>
      </c>
      <c r="R5" s="5" t="s">
        <v>46</v>
      </c>
      <c r="S5" s="5" t="s">
        <v>47</v>
      </c>
      <c r="T5" s="5" t="s">
        <v>48</v>
      </c>
      <c r="U5" s="5" t="s">
        <v>49</v>
      </c>
      <c r="V5" s="5" t="s">
        <v>50</v>
      </c>
      <c r="W5" s="5" t="s">
        <v>51</v>
      </c>
    </row>
    <row r="6" spans="1:23" x14ac:dyDescent="0.2">
      <c r="A6" s="6" t="s">
        <v>980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</row>
    <row r="7" spans="1:23" x14ac:dyDescent="0.2">
      <c r="A7" s="10" t="s">
        <v>981</v>
      </c>
      <c r="B7" s="14" t="s">
        <v>658</v>
      </c>
      <c r="C7" s="14">
        <v>20.711099999999998</v>
      </c>
      <c r="D7" s="14">
        <v>12.109400000000001</v>
      </c>
      <c r="E7" s="14">
        <v>7.3170000000000002</v>
      </c>
      <c r="F7" s="14">
        <v>4.9763999999999999</v>
      </c>
      <c r="G7" s="14">
        <v>12.291</v>
      </c>
      <c r="H7" s="14">
        <v>9.5326000000000004</v>
      </c>
      <c r="I7" s="14">
        <v>8.5044000000000004</v>
      </c>
      <c r="J7" s="14">
        <v>10.239599999999999</v>
      </c>
      <c r="K7" s="14">
        <v>9.4215999999999998</v>
      </c>
      <c r="L7" s="14">
        <v>15.360300000000001</v>
      </c>
      <c r="M7" s="14">
        <v>12.039400000000001</v>
      </c>
      <c r="N7" s="14">
        <v>11.185700000000001</v>
      </c>
      <c r="O7" s="14">
        <v>18.962199999999999</v>
      </c>
      <c r="P7" s="14">
        <v>11.9002</v>
      </c>
      <c r="Q7" s="14">
        <v>12.5609</v>
      </c>
      <c r="R7" s="14">
        <v>9.6156000000000006</v>
      </c>
      <c r="S7" s="14">
        <v>11.3774</v>
      </c>
      <c r="T7" s="14">
        <v>20.023800000000001</v>
      </c>
      <c r="U7" s="14">
        <v>19.837900000000001</v>
      </c>
      <c r="V7" s="14">
        <v>17.4086</v>
      </c>
      <c r="W7" s="14">
        <v>15.809799999999999</v>
      </c>
    </row>
    <row r="8" spans="1:23" x14ac:dyDescent="0.2">
      <c r="A8" s="10" t="s">
        <v>982</v>
      </c>
      <c r="B8" s="14" t="s">
        <v>658</v>
      </c>
      <c r="C8" s="14">
        <v>17.036999999999999</v>
      </c>
      <c r="D8" s="14">
        <v>10.656700000000001</v>
      </c>
      <c r="E8" s="14">
        <v>6.4678000000000004</v>
      </c>
      <c r="F8" s="14">
        <v>4.4363000000000001</v>
      </c>
      <c r="G8" s="14">
        <v>10.5008</v>
      </c>
      <c r="H8" s="14">
        <v>7.4074999999999998</v>
      </c>
      <c r="I8" s="14">
        <v>7.0719000000000003</v>
      </c>
      <c r="J8" s="14">
        <v>7.6863000000000001</v>
      </c>
      <c r="K8" s="14">
        <v>6.4619999999999997</v>
      </c>
      <c r="L8" s="14">
        <v>8.9491999999999994</v>
      </c>
      <c r="M8" s="14">
        <v>6.5125999999999999</v>
      </c>
      <c r="N8" s="14">
        <v>6.3418000000000001</v>
      </c>
      <c r="O8" s="14">
        <v>12.411300000000001</v>
      </c>
      <c r="P8" s="14">
        <v>8.6763999999999992</v>
      </c>
      <c r="Q8" s="14">
        <v>9.1434999999999995</v>
      </c>
      <c r="R8" s="14">
        <v>6.7911999999999999</v>
      </c>
      <c r="S8" s="14">
        <v>8.3150999999999993</v>
      </c>
      <c r="T8" s="14">
        <v>15.6092</v>
      </c>
      <c r="U8" s="14">
        <v>15.804600000000001</v>
      </c>
      <c r="V8" s="14">
        <v>14.4422</v>
      </c>
      <c r="W8" s="14">
        <v>11.65</v>
      </c>
    </row>
    <row r="9" spans="1:23" x14ac:dyDescent="0.2">
      <c r="A9" s="10" t="s">
        <v>983</v>
      </c>
      <c r="B9" s="14" t="s">
        <v>658</v>
      </c>
      <c r="C9" s="14">
        <v>20.022099999999998</v>
      </c>
      <c r="D9" s="14" t="s">
        <v>658</v>
      </c>
      <c r="E9" s="14" t="s">
        <v>658</v>
      </c>
      <c r="F9" s="14" t="s">
        <v>658</v>
      </c>
      <c r="G9" s="14">
        <v>12.6683</v>
      </c>
      <c r="H9" s="14">
        <v>8.9693000000000005</v>
      </c>
      <c r="I9" s="14">
        <v>8.3333999999999993</v>
      </c>
      <c r="J9" s="14">
        <v>10.016500000000001</v>
      </c>
      <c r="K9" s="14">
        <v>10.029</v>
      </c>
      <c r="L9" s="14">
        <v>13.672499999999999</v>
      </c>
      <c r="M9" s="14">
        <v>9.4993999999999996</v>
      </c>
      <c r="N9" s="14">
        <v>8.0676000000000005</v>
      </c>
      <c r="O9" s="14">
        <v>15.314299999999999</v>
      </c>
      <c r="P9" s="14">
        <v>12.1411</v>
      </c>
      <c r="Q9" s="14">
        <v>12.9038</v>
      </c>
      <c r="R9" s="14">
        <v>8.4278999999999993</v>
      </c>
      <c r="S9" s="14">
        <v>11.110200000000001</v>
      </c>
      <c r="T9" s="14">
        <v>19.0989</v>
      </c>
      <c r="U9" s="14">
        <v>18.960100000000001</v>
      </c>
      <c r="V9" s="14">
        <v>17.268899999999999</v>
      </c>
      <c r="W9" s="14">
        <v>15.349299999999999</v>
      </c>
    </row>
    <row r="10" spans="1:23" x14ac:dyDescent="0.2">
      <c r="A10" s="10" t="s">
        <v>984</v>
      </c>
      <c r="B10" s="14" t="s">
        <v>658</v>
      </c>
      <c r="C10" s="14">
        <v>15.7615</v>
      </c>
      <c r="D10" s="14">
        <v>8.7574000000000005</v>
      </c>
      <c r="E10" s="14">
        <v>4.3422999999999998</v>
      </c>
      <c r="F10" s="14">
        <v>1.7428999999999999</v>
      </c>
      <c r="G10" s="14">
        <v>8.8429000000000002</v>
      </c>
      <c r="H10" s="14">
        <v>1.6819</v>
      </c>
      <c r="I10" s="14">
        <v>2.3359000000000001</v>
      </c>
      <c r="J10" s="14">
        <v>7.3822000000000001</v>
      </c>
      <c r="K10" s="14">
        <v>8.7235999999999994</v>
      </c>
      <c r="L10" s="14">
        <v>12.569900000000001</v>
      </c>
      <c r="M10" s="14">
        <v>8.6959</v>
      </c>
      <c r="N10" s="14">
        <v>5.8893000000000004</v>
      </c>
      <c r="O10" s="14">
        <v>8.0327999999999999</v>
      </c>
      <c r="P10" s="14">
        <v>8.3347999999999995</v>
      </c>
      <c r="Q10" s="14">
        <v>11.3207</v>
      </c>
      <c r="R10" s="14">
        <v>7.6841999999999997</v>
      </c>
      <c r="S10" s="14">
        <v>10.006600000000001</v>
      </c>
      <c r="T10" s="14">
        <v>15.666499999999999</v>
      </c>
      <c r="U10" s="14">
        <v>16.204000000000001</v>
      </c>
      <c r="V10" s="14">
        <v>14.234999999999999</v>
      </c>
      <c r="W10" s="14">
        <v>10.994300000000001</v>
      </c>
    </row>
    <row r="11" spans="1:23" x14ac:dyDescent="0.2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 x14ac:dyDescent="0.2">
      <c r="A12" s="6" t="s">
        <v>985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</row>
    <row r="13" spans="1:23" x14ac:dyDescent="0.2">
      <c r="A13" s="10" t="s">
        <v>986</v>
      </c>
      <c r="B13" s="14">
        <v>28.336099999999998</v>
      </c>
      <c r="C13" s="14">
        <v>15.945499999999999</v>
      </c>
      <c r="D13" s="14">
        <v>14.6838</v>
      </c>
      <c r="E13" s="14">
        <v>9.4884000000000004</v>
      </c>
      <c r="F13" s="14">
        <v>6.9160000000000004</v>
      </c>
      <c r="G13" s="14">
        <v>10.8454</v>
      </c>
      <c r="H13" s="14">
        <v>4.9119000000000002</v>
      </c>
      <c r="I13" s="14">
        <v>5.5907</v>
      </c>
      <c r="J13" s="14">
        <v>9.2058999999999997</v>
      </c>
      <c r="K13" s="14">
        <v>9.3585999999999991</v>
      </c>
      <c r="L13" s="14">
        <v>12.3935</v>
      </c>
      <c r="M13" s="14">
        <v>10.423</v>
      </c>
      <c r="N13" s="14">
        <v>9.2795000000000005</v>
      </c>
      <c r="O13" s="14">
        <v>9.3231999999999999</v>
      </c>
      <c r="P13" s="14">
        <v>9.0116999999999994</v>
      </c>
      <c r="Q13" s="14">
        <v>11.808400000000001</v>
      </c>
      <c r="R13" s="14">
        <v>9.3879000000000001</v>
      </c>
      <c r="S13" s="14">
        <v>11.3392</v>
      </c>
      <c r="T13" s="14">
        <v>16.091799999999999</v>
      </c>
      <c r="U13" s="14">
        <v>16.622900000000001</v>
      </c>
      <c r="V13" s="14">
        <v>15.7418</v>
      </c>
      <c r="W13" s="14">
        <v>13.303100000000001</v>
      </c>
    </row>
    <row r="14" spans="1:23" x14ac:dyDescent="0.2">
      <c r="A14" s="10" t="s">
        <v>210</v>
      </c>
      <c r="B14" s="14">
        <v>25.499500000000001</v>
      </c>
      <c r="C14" s="14">
        <v>13.675800000000001</v>
      </c>
      <c r="D14" s="14">
        <v>11.6663</v>
      </c>
      <c r="E14" s="14">
        <v>5.8929999999999998</v>
      </c>
      <c r="F14" s="14">
        <v>3.0811999999999999</v>
      </c>
      <c r="G14" s="14">
        <v>7.9724000000000004</v>
      </c>
      <c r="H14" s="14">
        <v>1.7458</v>
      </c>
      <c r="I14" s="14">
        <v>2.3325999999999998</v>
      </c>
      <c r="J14" s="14">
        <v>6.5960000000000001</v>
      </c>
      <c r="K14" s="14">
        <v>7.1717000000000004</v>
      </c>
      <c r="L14" s="14">
        <v>10.2043</v>
      </c>
      <c r="M14" s="14">
        <v>7.8883999999999999</v>
      </c>
      <c r="N14" s="14">
        <v>5.9802</v>
      </c>
      <c r="O14" s="14">
        <v>6.1706000000000003</v>
      </c>
      <c r="P14" s="14">
        <v>6.7782999999999998</v>
      </c>
      <c r="Q14" s="14">
        <v>9.5114999999999998</v>
      </c>
      <c r="R14" s="14">
        <v>7.1947000000000001</v>
      </c>
      <c r="S14" s="14">
        <v>8.9430999999999994</v>
      </c>
      <c r="T14" s="14">
        <v>13.3192</v>
      </c>
      <c r="U14" s="14">
        <v>14.2278</v>
      </c>
      <c r="V14" s="14">
        <v>13.402200000000001</v>
      </c>
      <c r="W14" s="14">
        <v>10.515499999999999</v>
      </c>
    </row>
    <row r="15" spans="1:23" x14ac:dyDescent="0.2">
      <c r="A15" s="10" t="s">
        <v>987</v>
      </c>
      <c r="B15" s="14" t="s">
        <v>658</v>
      </c>
      <c r="C15" s="14" t="s">
        <v>658</v>
      </c>
      <c r="D15" s="14">
        <v>-40.150799999999997</v>
      </c>
      <c r="E15" s="14" t="s">
        <v>658</v>
      </c>
      <c r="F15" s="14">
        <v>-100.6074</v>
      </c>
      <c r="G15" s="14">
        <v>12.506500000000001</v>
      </c>
      <c r="H15" s="14">
        <v>-41.179699999999997</v>
      </c>
      <c r="I15" s="14">
        <v>8.9047999999999998</v>
      </c>
      <c r="J15" s="14">
        <v>13.643000000000001</v>
      </c>
      <c r="K15" s="14">
        <v>9.5248000000000008</v>
      </c>
      <c r="L15" s="14">
        <v>19.2789</v>
      </c>
      <c r="M15" s="14" t="s">
        <v>658</v>
      </c>
      <c r="N15" s="14">
        <v>-139.68899999999999</v>
      </c>
      <c r="O15" s="14">
        <v>9.2215000000000007</v>
      </c>
      <c r="P15" s="14">
        <v>18.991800000000001</v>
      </c>
      <c r="Q15" s="14">
        <v>20.6571</v>
      </c>
      <c r="R15" s="14" t="s">
        <v>658</v>
      </c>
      <c r="S15" s="14" t="s">
        <v>658</v>
      </c>
      <c r="T15" s="14">
        <v>110.03</v>
      </c>
      <c r="U15" s="14">
        <v>18.454899999999999</v>
      </c>
      <c r="V15" s="14">
        <v>0.12130000000000001</v>
      </c>
      <c r="W15" s="14" t="s">
        <v>658</v>
      </c>
    </row>
    <row r="16" spans="1:23" x14ac:dyDescent="0.2">
      <c r="A16" s="10" t="s">
        <v>988</v>
      </c>
      <c r="B16" s="14">
        <v>28.120100000000001</v>
      </c>
      <c r="C16" s="14">
        <v>16.584599999999998</v>
      </c>
      <c r="D16" s="14">
        <v>15.565</v>
      </c>
      <c r="E16" s="14">
        <v>9.6555</v>
      </c>
      <c r="F16" s="14">
        <v>8.6152999999999995</v>
      </c>
      <c r="G16" s="14">
        <v>10.964</v>
      </c>
      <c r="H16" s="14">
        <v>10.4323</v>
      </c>
      <c r="I16" s="14">
        <v>8.1508000000000003</v>
      </c>
      <c r="J16" s="14">
        <v>8.4923999999999999</v>
      </c>
      <c r="K16" s="14">
        <v>7.5035999999999996</v>
      </c>
      <c r="L16" s="14">
        <v>10.571999999999999</v>
      </c>
      <c r="M16" s="14">
        <v>7.7361000000000004</v>
      </c>
      <c r="N16" s="14">
        <v>6.5269000000000004</v>
      </c>
      <c r="O16" s="14">
        <v>10.988200000000001</v>
      </c>
      <c r="P16" s="14">
        <v>9.2707999999999995</v>
      </c>
      <c r="Q16" s="14">
        <v>10.123699999999999</v>
      </c>
      <c r="R16" s="14">
        <v>7.3040000000000003</v>
      </c>
      <c r="S16" s="14">
        <v>9.5176999999999996</v>
      </c>
      <c r="T16" s="14">
        <v>15.9901</v>
      </c>
      <c r="U16" s="14">
        <v>16.6812</v>
      </c>
      <c r="V16" s="14">
        <v>16.1831</v>
      </c>
      <c r="W16" s="14">
        <v>14.4659</v>
      </c>
    </row>
    <row r="17" spans="1:23" x14ac:dyDescent="0.2">
      <c r="A17" s="10" t="s">
        <v>989</v>
      </c>
      <c r="B17" s="14">
        <v>27.381900000000002</v>
      </c>
      <c r="C17" s="14">
        <v>16.0274</v>
      </c>
      <c r="D17" s="14">
        <v>14.8424</v>
      </c>
      <c r="E17" s="14">
        <v>8.7937999999999992</v>
      </c>
      <c r="F17" s="14">
        <v>6.3677000000000001</v>
      </c>
      <c r="G17" s="14">
        <v>9.1737000000000002</v>
      </c>
      <c r="H17" s="14">
        <v>8.7803000000000004</v>
      </c>
      <c r="I17" s="14">
        <v>7.5544000000000002</v>
      </c>
      <c r="J17" s="14">
        <v>6.3939000000000004</v>
      </c>
      <c r="K17" s="14">
        <v>5.7191999999999998</v>
      </c>
      <c r="L17" s="14">
        <v>7.9321000000000002</v>
      </c>
      <c r="M17" s="14">
        <v>5.8592000000000004</v>
      </c>
      <c r="N17" s="14">
        <v>4.8415999999999997</v>
      </c>
      <c r="O17" s="14">
        <v>10.253299999999999</v>
      </c>
      <c r="P17" s="14">
        <v>7.8552</v>
      </c>
      <c r="Q17" s="14">
        <v>7.4526000000000003</v>
      </c>
      <c r="R17" s="14">
        <v>5.1280000000000001</v>
      </c>
      <c r="S17" s="14">
        <v>7.3113000000000001</v>
      </c>
      <c r="T17" s="14">
        <v>12.9383</v>
      </c>
      <c r="U17" s="14">
        <v>12.701599999999999</v>
      </c>
      <c r="V17" s="14">
        <v>12.718999999999999</v>
      </c>
      <c r="W17" s="14">
        <v>11.925000000000001</v>
      </c>
    </row>
    <row r="18" spans="1:23" x14ac:dyDescent="0.2">
      <c r="A18" s="10" t="s">
        <v>990</v>
      </c>
      <c r="B18" s="14">
        <v>27.381900000000002</v>
      </c>
      <c r="C18" s="14">
        <v>16.0274</v>
      </c>
      <c r="D18" s="14">
        <v>14.8424</v>
      </c>
      <c r="E18" s="14">
        <v>8.7937999999999992</v>
      </c>
      <c r="F18" s="14">
        <v>6.3677000000000001</v>
      </c>
      <c r="G18" s="14">
        <v>9.1737000000000002</v>
      </c>
      <c r="H18" s="14">
        <v>8.7803000000000004</v>
      </c>
      <c r="I18" s="14">
        <v>7.5544000000000002</v>
      </c>
      <c r="J18" s="14">
        <v>6.0461</v>
      </c>
      <c r="K18" s="14">
        <v>4.8757999999999999</v>
      </c>
      <c r="L18" s="14">
        <v>6.6361999999999997</v>
      </c>
      <c r="M18" s="14">
        <v>5.2187000000000001</v>
      </c>
      <c r="N18" s="14">
        <v>5.4928999999999997</v>
      </c>
      <c r="O18" s="14">
        <v>10.3942</v>
      </c>
      <c r="P18" s="14">
        <v>7.0401999999999996</v>
      </c>
      <c r="Q18" s="14">
        <v>6.5731999999999999</v>
      </c>
      <c r="R18" s="14">
        <v>5.2972999999999999</v>
      </c>
      <c r="S18" s="14">
        <v>6.9401000000000002</v>
      </c>
      <c r="T18" s="14">
        <v>13.1121</v>
      </c>
      <c r="U18" s="14">
        <v>12.949</v>
      </c>
      <c r="V18" s="14">
        <v>12.7874</v>
      </c>
      <c r="W18" s="14">
        <v>11.8965</v>
      </c>
    </row>
    <row r="19" spans="1:23" x14ac:dyDescent="0.2">
      <c r="A19" s="10" t="s">
        <v>991</v>
      </c>
      <c r="B19" s="14">
        <v>27.381900000000002</v>
      </c>
      <c r="C19" s="14">
        <v>16.0274</v>
      </c>
      <c r="D19" s="14">
        <v>14.8424</v>
      </c>
      <c r="E19" s="14">
        <v>8.7937999999999992</v>
      </c>
      <c r="F19" s="14">
        <v>6.3677000000000001</v>
      </c>
      <c r="G19" s="14">
        <v>8.4833999999999996</v>
      </c>
      <c r="H19" s="14">
        <v>8.7803000000000004</v>
      </c>
      <c r="I19" s="14">
        <v>7.5544000000000002</v>
      </c>
      <c r="J19" s="14">
        <v>6.0461</v>
      </c>
      <c r="K19" s="14">
        <v>4.8757999999999999</v>
      </c>
      <c r="L19" s="14">
        <v>6.6361999999999997</v>
      </c>
      <c r="M19" s="14">
        <v>5.2187000000000001</v>
      </c>
      <c r="N19" s="14">
        <v>5.4928999999999997</v>
      </c>
      <c r="O19" s="14">
        <v>10.3942</v>
      </c>
      <c r="P19" s="14">
        <v>7.0401999999999996</v>
      </c>
      <c r="Q19" s="14">
        <v>6.5731999999999999</v>
      </c>
      <c r="R19" s="14">
        <v>5.2972999999999999</v>
      </c>
      <c r="S19" s="14">
        <v>6.9401000000000002</v>
      </c>
      <c r="T19" s="14">
        <v>13.1121</v>
      </c>
      <c r="U19" s="14">
        <v>12.949</v>
      </c>
      <c r="V19" s="14">
        <v>12.7874</v>
      </c>
      <c r="W19" s="14">
        <v>11.8965</v>
      </c>
    </row>
    <row r="20" spans="1:23" x14ac:dyDescent="0.2">
      <c r="A20" s="10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3" x14ac:dyDescent="0.2">
      <c r="A21" s="6" t="s">
        <v>992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spans="1:23" x14ac:dyDescent="0.2">
      <c r="A22" s="10" t="s">
        <v>993</v>
      </c>
      <c r="B22" s="14">
        <v>2.6253000000000002</v>
      </c>
      <c r="C22" s="14">
        <v>3.3599000000000001</v>
      </c>
      <c r="D22" s="14">
        <v>4.6425000000000001</v>
      </c>
      <c r="E22" s="14">
        <v>8.9244000000000003</v>
      </c>
      <c r="F22" s="14">
        <v>26.088799999999999</v>
      </c>
      <c r="G22" s="14">
        <v>16.329000000000001</v>
      </c>
      <c r="H22" s="14">
        <v>15.8348</v>
      </c>
      <c r="I22" s="14">
        <v>7.3175999999999997</v>
      </c>
      <c r="J22" s="14">
        <v>24.7102</v>
      </c>
      <c r="K22" s="14">
        <v>23.781199999999998</v>
      </c>
      <c r="L22" s="14">
        <v>24.9709</v>
      </c>
      <c r="M22" s="14">
        <v>24.260899999999999</v>
      </c>
      <c r="N22" s="14">
        <v>25.820799999999998</v>
      </c>
      <c r="O22" s="14">
        <v>6.6875999999999998</v>
      </c>
      <c r="P22" s="14">
        <v>15.2698</v>
      </c>
      <c r="Q22" s="14">
        <v>26.3841</v>
      </c>
      <c r="R22" s="14">
        <v>29.791399999999999</v>
      </c>
      <c r="S22" s="14">
        <v>23.1815</v>
      </c>
      <c r="T22" s="14">
        <v>19.085799999999999</v>
      </c>
      <c r="U22" s="14">
        <v>23.8569</v>
      </c>
      <c r="V22" s="14">
        <v>21.405799999999999</v>
      </c>
      <c r="W22" s="14">
        <v>17.565200000000001</v>
      </c>
    </row>
    <row r="23" spans="1:23" x14ac:dyDescent="0.2">
      <c r="A23" s="10" t="s">
        <v>994</v>
      </c>
      <c r="B23" s="14">
        <v>14.3711</v>
      </c>
      <c r="C23" s="14">
        <v>21.135200000000001</v>
      </c>
      <c r="D23" s="14">
        <v>49.127800000000001</v>
      </c>
      <c r="E23" s="14">
        <v>46.715000000000003</v>
      </c>
      <c r="F23" s="14">
        <v>33.214500000000001</v>
      </c>
      <c r="G23" s="14">
        <v>33.834099999999999</v>
      </c>
      <c r="H23" s="14">
        <v>33.203200000000002</v>
      </c>
      <c r="I23" s="14">
        <v>21.2559</v>
      </c>
      <c r="J23" s="14">
        <v>16.5473</v>
      </c>
      <c r="K23" s="14">
        <v>21.982199999999999</v>
      </c>
      <c r="L23" s="14">
        <v>15.196099999999999</v>
      </c>
      <c r="M23" s="14">
        <v>13.6541</v>
      </c>
      <c r="N23" s="14">
        <v>14.259600000000001</v>
      </c>
      <c r="O23" s="14">
        <v>4.9053000000000004</v>
      </c>
      <c r="P23" s="14">
        <v>9.1986000000000008</v>
      </c>
      <c r="Q23" s="14">
        <v>9.8899000000000008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14.4148</v>
      </c>
    </row>
    <row r="24" spans="1:23" x14ac:dyDescent="0.2">
      <c r="A24" s="10" t="s">
        <v>995</v>
      </c>
      <c r="B24" s="14" t="s">
        <v>658</v>
      </c>
      <c r="C24" s="14">
        <v>16.3337</v>
      </c>
      <c r="D24" s="14">
        <v>6.1603000000000003</v>
      </c>
      <c r="E24" s="14">
        <v>3.8988</v>
      </c>
      <c r="F24" s="14">
        <v>3.3235000000000001</v>
      </c>
      <c r="G24" s="14">
        <v>8.1324000000000005</v>
      </c>
      <c r="H24" s="14">
        <v>6.3674999999999997</v>
      </c>
      <c r="I24" s="14">
        <v>6.6966999999999999</v>
      </c>
      <c r="J24" s="14">
        <v>8.5451999999999995</v>
      </c>
      <c r="K24" s="14">
        <v>7.3505000000000003</v>
      </c>
      <c r="L24" s="14">
        <v>13.0261</v>
      </c>
      <c r="M24" s="14">
        <v>10.3955</v>
      </c>
      <c r="N24" s="14">
        <v>9.5907</v>
      </c>
      <c r="O24" s="14">
        <v>18.0321</v>
      </c>
      <c r="P24" s="14">
        <v>10.8055</v>
      </c>
      <c r="Q24" s="14">
        <v>11.3186</v>
      </c>
      <c r="R24" s="14">
        <v>9.6156000000000006</v>
      </c>
      <c r="S24" s="14">
        <v>11.3774</v>
      </c>
      <c r="T24" s="14">
        <v>20.023800000000001</v>
      </c>
      <c r="U24" s="14">
        <v>19.837900000000001</v>
      </c>
      <c r="V24" s="14">
        <v>17.4086</v>
      </c>
      <c r="W24" s="14">
        <v>13.530900000000001</v>
      </c>
    </row>
    <row r="25" spans="1:23" x14ac:dyDescent="0.2">
      <c r="A25" s="7" t="s">
        <v>112</v>
      </c>
      <c r="B25" s="7" t="s">
        <v>3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95"/>
  <sheetViews>
    <sheetView workbookViewId="0">
      <selection activeCell="A2" sqref="A2:W95"/>
    </sheetView>
  </sheetViews>
  <sheetFormatPr baseColWidth="10" defaultColWidth="8.83203125" defaultRowHeight="15" x14ac:dyDescent="0.2"/>
  <cols>
    <col min="1" max="1" width="35.1640625" customWidth="1"/>
    <col min="2" max="2" width="0" hidden="1" customWidth="1"/>
    <col min="3" max="23" width="11.83203125" customWidth="1"/>
  </cols>
  <sheetData>
    <row r="1" spans="1:23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0" x14ac:dyDescent="0.2">
      <c r="A2" s="8" t="s">
        <v>996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">
      <c r="A4" s="3" t="s">
        <v>6</v>
      </c>
      <c r="B4" s="3"/>
      <c r="C4" s="4" t="s">
        <v>4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</row>
    <row r="5" spans="1:23" x14ac:dyDescent="0.2">
      <c r="A5" s="9" t="s">
        <v>30</v>
      </c>
      <c r="B5" s="9"/>
      <c r="C5" s="5" t="s">
        <v>31</v>
      </c>
      <c r="D5" s="5" t="s">
        <v>32</v>
      </c>
      <c r="E5" s="5" t="s">
        <v>33</v>
      </c>
      <c r="F5" s="5" t="s">
        <v>34</v>
      </c>
      <c r="G5" s="5" t="s">
        <v>35</v>
      </c>
      <c r="H5" s="5" t="s">
        <v>36</v>
      </c>
      <c r="I5" s="5" t="s">
        <v>37</v>
      </c>
      <c r="J5" s="5" t="s">
        <v>38</v>
      </c>
      <c r="K5" s="5" t="s">
        <v>39</v>
      </c>
      <c r="L5" s="5" t="s">
        <v>40</v>
      </c>
      <c r="M5" s="5" t="s">
        <v>41</v>
      </c>
      <c r="N5" s="5" t="s">
        <v>42</v>
      </c>
      <c r="O5" s="5" t="s">
        <v>43</v>
      </c>
      <c r="P5" s="5" t="s">
        <v>44</v>
      </c>
      <c r="Q5" s="5" t="s">
        <v>45</v>
      </c>
      <c r="R5" s="5" t="s">
        <v>46</v>
      </c>
      <c r="S5" s="5" t="s">
        <v>47</v>
      </c>
      <c r="T5" s="5" t="s">
        <v>48</v>
      </c>
      <c r="U5" s="5" t="s">
        <v>49</v>
      </c>
      <c r="V5" s="5" t="s">
        <v>50</v>
      </c>
      <c r="W5" s="5" t="s">
        <v>51</v>
      </c>
    </row>
    <row r="6" spans="1:23" x14ac:dyDescent="0.2">
      <c r="A6" s="6" t="s">
        <v>997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</row>
    <row r="7" spans="1:23" x14ac:dyDescent="0.2">
      <c r="A7" s="10" t="s">
        <v>0</v>
      </c>
      <c r="B7" s="10" t="s">
        <v>998</v>
      </c>
      <c r="C7" s="14">
        <v>45.304400000000001</v>
      </c>
      <c r="D7" s="14">
        <v>-7.0547000000000004</v>
      </c>
      <c r="E7" s="14">
        <v>6.7683999999999997</v>
      </c>
      <c r="F7" s="14">
        <v>-2.8831000000000002</v>
      </c>
      <c r="G7" s="14">
        <v>107.87649999999999</v>
      </c>
      <c r="H7" s="14">
        <v>-15.79</v>
      </c>
      <c r="I7" s="14">
        <v>8.9293999999999993</v>
      </c>
      <c r="J7" s="14">
        <v>60.499400000000001</v>
      </c>
      <c r="K7" s="14">
        <v>24.465800000000002</v>
      </c>
      <c r="L7" s="14">
        <v>33.418399999999998</v>
      </c>
      <c r="M7" s="14">
        <v>12.835599999999999</v>
      </c>
      <c r="N7" s="14">
        <v>-1.4272</v>
      </c>
      <c r="O7" s="14">
        <v>6.242</v>
      </c>
      <c r="P7" s="14">
        <v>4.9756</v>
      </c>
      <c r="Q7" s="14">
        <v>24.522500000000001</v>
      </c>
      <c r="R7" s="14">
        <v>6.1609999999999996</v>
      </c>
      <c r="S7" s="14">
        <v>-4.5101000000000004</v>
      </c>
      <c r="T7" s="14">
        <v>4.5248999999999997</v>
      </c>
      <c r="U7" s="14">
        <v>21.493200000000002</v>
      </c>
      <c r="V7" s="14">
        <v>6.2157999999999998</v>
      </c>
      <c r="W7" s="14">
        <v>11.192399999999999</v>
      </c>
    </row>
    <row r="8" spans="1:23" x14ac:dyDescent="0.2">
      <c r="A8" s="10" t="s">
        <v>205</v>
      </c>
      <c r="B8" s="10" t="s">
        <v>999</v>
      </c>
      <c r="C8" s="14">
        <v>-18.2331</v>
      </c>
      <c r="D8" s="14">
        <v>-14.4093</v>
      </c>
      <c r="E8" s="14">
        <v>-31.008299999999998</v>
      </c>
      <c r="F8" s="14">
        <v>-29.2119</v>
      </c>
      <c r="G8" s="14">
        <v>225.98259999999999</v>
      </c>
      <c r="H8" s="14">
        <v>-61.861499999999999</v>
      </c>
      <c r="I8" s="14">
        <v>23.9846</v>
      </c>
      <c r="J8" s="14">
        <v>164.28469999999999</v>
      </c>
      <c r="K8" s="14">
        <v>26.5304</v>
      </c>
      <c r="L8" s="14">
        <v>76.683400000000006</v>
      </c>
      <c r="M8" s="14">
        <v>-5.1047000000000002</v>
      </c>
      <c r="N8" s="14">
        <v>-12.2415</v>
      </c>
      <c r="O8" s="14">
        <v>6.7431000000000001</v>
      </c>
      <c r="P8" s="14">
        <v>1.4682999999999999</v>
      </c>
      <c r="Q8" s="14">
        <v>63.166400000000003</v>
      </c>
      <c r="R8" s="14">
        <v>-15.5999</v>
      </c>
      <c r="S8" s="14">
        <v>15.337199999999999</v>
      </c>
      <c r="T8" s="14">
        <v>48.334899999999998</v>
      </c>
      <c r="U8" s="14">
        <v>25.5032</v>
      </c>
      <c r="V8" s="14">
        <v>0.58540000000000003</v>
      </c>
      <c r="W8" s="14">
        <v>-6.0332999999999997</v>
      </c>
    </row>
    <row r="9" spans="1:23" x14ac:dyDescent="0.2">
      <c r="A9" s="10" t="s">
        <v>1000</v>
      </c>
      <c r="B9" s="10" t="s">
        <v>1001</v>
      </c>
      <c r="C9" s="14">
        <v>-22.071200000000001</v>
      </c>
      <c r="D9" s="14">
        <v>-20.712</v>
      </c>
      <c r="E9" s="14">
        <v>-46.067900000000002</v>
      </c>
      <c r="F9" s="14">
        <v>-49.221800000000002</v>
      </c>
      <c r="G9" s="14">
        <v>437.86799999999999</v>
      </c>
      <c r="H9" s="14">
        <v>-81.56</v>
      </c>
      <c r="I9" s="14">
        <v>45.546799999999998</v>
      </c>
      <c r="J9" s="14">
        <v>353.84719999999999</v>
      </c>
      <c r="K9" s="14">
        <v>35.3292</v>
      </c>
      <c r="L9" s="14">
        <v>89.834999999999994</v>
      </c>
      <c r="M9" s="14">
        <v>-12.772399999999999</v>
      </c>
      <c r="N9" s="14">
        <v>-25.272200000000002</v>
      </c>
      <c r="O9" s="14">
        <v>9.6252999999999993</v>
      </c>
      <c r="P9" s="14">
        <v>15.3139</v>
      </c>
      <c r="Q9" s="14">
        <v>74.733000000000004</v>
      </c>
      <c r="R9" s="14">
        <v>-19.697299999999998</v>
      </c>
      <c r="S9" s="14">
        <v>18.694600000000001</v>
      </c>
      <c r="T9" s="14">
        <v>55.671900000000001</v>
      </c>
      <c r="U9" s="14">
        <v>29.7806</v>
      </c>
      <c r="V9" s="14">
        <v>5.2999999999999999E-2</v>
      </c>
      <c r="W9" s="14">
        <v>-12.7576</v>
      </c>
    </row>
    <row r="10" spans="1:23" x14ac:dyDescent="0.2">
      <c r="A10" s="10" t="s">
        <v>1002</v>
      </c>
      <c r="B10" s="10" t="s">
        <v>1003</v>
      </c>
      <c r="C10" s="14">
        <v>-14.9491</v>
      </c>
      <c r="D10" s="14">
        <v>-13.926600000000001</v>
      </c>
      <c r="E10" s="14">
        <v>-36.742400000000004</v>
      </c>
      <c r="F10" s="14">
        <v>-29.6767</v>
      </c>
      <c r="G10" s="14">
        <v>176.94489999999999</v>
      </c>
      <c r="H10" s="14">
        <v>-12.841900000000001</v>
      </c>
      <c r="I10" s="14">
        <v>-6.2798999999999996</v>
      </c>
      <c r="J10" s="14">
        <v>28.455100000000002</v>
      </c>
      <c r="K10" s="14">
        <v>0.37380000000000002</v>
      </c>
      <c r="L10" s="14">
        <v>81.587500000000006</v>
      </c>
      <c r="M10" s="14">
        <v>-11.2658</v>
      </c>
      <c r="N10" s="14">
        <v>3.7523</v>
      </c>
      <c r="O10" s="14">
        <v>101.04170000000001</v>
      </c>
      <c r="P10" s="14">
        <v>-28.8979</v>
      </c>
      <c r="Q10" s="14">
        <v>16.262799999999999</v>
      </c>
      <c r="R10" s="14">
        <v>-14.445600000000001</v>
      </c>
      <c r="S10" s="14">
        <v>25.1035</v>
      </c>
      <c r="T10" s="14">
        <v>97.479500000000002</v>
      </c>
      <c r="U10" s="14">
        <v>19.981999999999999</v>
      </c>
      <c r="V10" s="14">
        <v>4.8902000000000001</v>
      </c>
      <c r="W10" s="14">
        <v>3.4462000000000002</v>
      </c>
    </row>
    <row r="11" spans="1:23" x14ac:dyDescent="0.2">
      <c r="A11" s="10" t="s">
        <v>1004</v>
      </c>
      <c r="B11" s="10" t="s">
        <v>1005</v>
      </c>
      <c r="C11" s="14">
        <v>-33.836100000000002</v>
      </c>
      <c r="D11" s="14">
        <v>-15.055199999999999</v>
      </c>
      <c r="E11" s="14">
        <v>-36.982300000000002</v>
      </c>
      <c r="F11" s="14">
        <v>-29.8337</v>
      </c>
      <c r="G11" s="14">
        <v>92.148799999999994</v>
      </c>
      <c r="H11" s="14">
        <v>-12.7651</v>
      </c>
      <c r="I11" s="14">
        <v>-8.2705000000000002</v>
      </c>
      <c r="J11" s="14">
        <v>26.956499999999998</v>
      </c>
      <c r="K11" s="14">
        <v>0.45660000000000001</v>
      </c>
      <c r="L11" s="14">
        <v>84.545500000000004</v>
      </c>
      <c r="M11" s="14">
        <v>-10.0985</v>
      </c>
      <c r="N11" s="14">
        <v>2.0548000000000002</v>
      </c>
      <c r="O11" s="14">
        <v>104.5638</v>
      </c>
      <c r="P11" s="14">
        <v>-28.674499999999998</v>
      </c>
      <c r="Q11" s="14">
        <v>15.2714</v>
      </c>
      <c r="R11" s="14">
        <v>-13.7271</v>
      </c>
      <c r="S11" s="14">
        <v>25.161899999999999</v>
      </c>
      <c r="T11" s="14">
        <v>97.413200000000003</v>
      </c>
      <c r="U11" s="14">
        <v>19.9925</v>
      </c>
      <c r="V11" s="14">
        <v>4.8361999999999998</v>
      </c>
      <c r="W11" s="14">
        <v>3.3035999999999999</v>
      </c>
    </row>
    <row r="12" spans="1:23" x14ac:dyDescent="0.2">
      <c r="A12" s="10" t="s">
        <v>1006</v>
      </c>
      <c r="B12" s="10" t="s">
        <v>1007</v>
      </c>
      <c r="C12" s="14" t="s">
        <v>658</v>
      </c>
      <c r="D12" s="14" t="s">
        <v>658</v>
      </c>
      <c r="E12" s="14">
        <v>-36.982300000000002</v>
      </c>
      <c r="F12" s="14">
        <v>-29.8337</v>
      </c>
      <c r="G12" s="14">
        <v>92.148799999999994</v>
      </c>
      <c r="H12" s="14">
        <v>-12.7651</v>
      </c>
      <c r="I12" s="14">
        <v>-8.2705000000000002</v>
      </c>
      <c r="J12" s="14">
        <v>26.956499999999998</v>
      </c>
      <c r="K12" s="14">
        <v>0.45660000000000001</v>
      </c>
      <c r="L12" s="14">
        <v>84.545500000000004</v>
      </c>
      <c r="M12" s="14">
        <v>-10.0985</v>
      </c>
      <c r="N12" s="14">
        <v>-9.0061999999999998</v>
      </c>
      <c r="O12" s="14">
        <v>129.4299</v>
      </c>
      <c r="P12" s="14">
        <v>-28.674499999999998</v>
      </c>
      <c r="Q12" s="14">
        <v>15.2714</v>
      </c>
      <c r="R12" s="14">
        <v>-13.7271</v>
      </c>
      <c r="S12" s="14">
        <v>25.161899999999999</v>
      </c>
      <c r="T12" s="14">
        <v>97.413200000000003</v>
      </c>
      <c r="U12" s="14">
        <v>19.9925</v>
      </c>
      <c r="V12" s="14">
        <v>4.8361999999999998</v>
      </c>
      <c r="W12" s="14">
        <v>3.3035999999999999</v>
      </c>
    </row>
    <row r="13" spans="1:23" x14ac:dyDescent="0.2">
      <c r="A13" s="10" t="s">
        <v>1008</v>
      </c>
      <c r="B13" s="10" t="s">
        <v>1009</v>
      </c>
      <c r="C13" s="14" t="s">
        <v>658</v>
      </c>
      <c r="D13" s="14" t="s">
        <v>658</v>
      </c>
      <c r="E13" s="14">
        <v>-36.982300000000002</v>
      </c>
      <c r="F13" s="14">
        <v>-29.8337</v>
      </c>
      <c r="G13" s="14">
        <v>92.148799999999994</v>
      </c>
      <c r="H13" s="14">
        <v>-12.7651</v>
      </c>
      <c r="I13" s="14">
        <v>-8.2705000000000002</v>
      </c>
      <c r="J13" s="14">
        <v>26.956499999999998</v>
      </c>
      <c r="K13" s="14">
        <v>0.45660000000000001</v>
      </c>
      <c r="L13" s="14">
        <v>84.545500000000004</v>
      </c>
      <c r="M13" s="14">
        <v>-10.0985</v>
      </c>
      <c r="N13" s="14">
        <v>-10.1717</v>
      </c>
      <c r="O13" s="14">
        <v>86.277900000000002</v>
      </c>
      <c r="P13" s="14">
        <v>-14.6174</v>
      </c>
      <c r="Q13" s="14">
        <v>19.207999999999998</v>
      </c>
      <c r="R13" s="14">
        <v>-0.58420000000000005</v>
      </c>
      <c r="S13" s="14">
        <v>-0.99050000000000005</v>
      </c>
      <c r="T13" s="14">
        <v>104.77800000000001</v>
      </c>
      <c r="U13" s="14">
        <v>22.927600000000002</v>
      </c>
      <c r="V13" s="14">
        <v>-0.54969999999999997</v>
      </c>
      <c r="W13" s="14">
        <v>7.7553999999999998</v>
      </c>
    </row>
    <row r="14" spans="1:23" x14ac:dyDescent="0.2">
      <c r="A14" s="10" t="s">
        <v>1010</v>
      </c>
      <c r="B14" s="10" t="s">
        <v>1011</v>
      </c>
      <c r="C14" s="14">
        <v>25</v>
      </c>
      <c r="D14" s="14">
        <v>0</v>
      </c>
      <c r="E14" s="14">
        <v>20</v>
      </c>
      <c r="F14" s="14">
        <v>-50</v>
      </c>
      <c r="G14" s="14">
        <v>66.666700000000006</v>
      </c>
      <c r="H14" s="14">
        <v>0</v>
      </c>
      <c r="I14" s="14">
        <v>-40</v>
      </c>
      <c r="J14" s="14">
        <v>0</v>
      </c>
      <c r="K14" s="14">
        <v>33.333300000000001</v>
      </c>
      <c r="L14" s="14">
        <v>25</v>
      </c>
      <c r="M14" s="14">
        <v>-20</v>
      </c>
      <c r="N14" s="14">
        <v>0</v>
      </c>
      <c r="O14" s="14">
        <v>-25</v>
      </c>
      <c r="P14" s="14">
        <v>33.333300000000001</v>
      </c>
      <c r="Q14" s="14">
        <v>25</v>
      </c>
      <c r="R14" s="14" t="s">
        <v>658</v>
      </c>
      <c r="S14" s="14" t="s">
        <v>658</v>
      </c>
      <c r="T14" s="14" t="s">
        <v>658</v>
      </c>
      <c r="U14" s="14" t="s">
        <v>658</v>
      </c>
      <c r="V14" s="14" t="s">
        <v>658</v>
      </c>
      <c r="W14" s="14" t="s">
        <v>658</v>
      </c>
    </row>
    <row r="15" spans="1:23" x14ac:dyDescent="0.2">
      <c r="A15" s="10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 x14ac:dyDescent="0.2">
      <c r="A16" s="10" t="s">
        <v>1012</v>
      </c>
      <c r="B16" s="10" t="s">
        <v>1013</v>
      </c>
      <c r="C16" s="14">
        <v>77.115399999999994</v>
      </c>
      <c r="D16" s="14">
        <v>6.7232000000000003</v>
      </c>
      <c r="E16" s="14">
        <v>-2.9095</v>
      </c>
      <c r="F16" s="14">
        <v>6.9249999999999998</v>
      </c>
      <c r="G16" s="14">
        <v>28.917300000000001</v>
      </c>
      <c r="H16" s="14">
        <v>-21.552499999999998</v>
      </c>
      <c r="I16" s="14">
        <v>14.2729</v>
      </c>
      <c r="J16" s="14">
        <v>56.308</v>
      </c>
      <c r="K16" s="14">
        <v>20.6174</v>
      </c>
      <c r="L16" s="14">
        <v>41.407800000000002</v>
      </c>
      <c r="M16" s="14">
        <v>8.4489000000000001</v>
      </c>
      <c r="N16" s="14">
        <v>12.253</v>
      </c>
      <c r="O16" s="14">
        <v>3.5295999999999998</v>
      </c>
      <c r="P16" s="14">
        <v>6.9500999999999999</v>
      </c>
      <c r="Q16" s="14">
        <v>20.191099999999999</v>
      </c>
      <c r="R16" s="14">
        <v>10.690799999999999</v>
      </c>
      <c r="S16" s="14">
        <v>-32.648099999999999</v>
      </c>
      <c r="T16" s="14">
        <v>33.244</v>
      </c>
      <c r="U16" s="14">
        <v>9.9940999999999995</v>
      </c>
      <c r="V16" s="14">
        <v>6.4698000000000002</v>
      </c>
      <c r="W16" s="14">
        <v>5.4062000000000001</v>
      </c>
    </row>
    <row r="17" spans="1:23" x14ac:dyDescent="0.2">
      <c r="A17" s="10" t="s">
        <v>1014</v>
      </c>
      <c r="B17" s="10" t="s">
        <v>1015</v>
      </c>
      <c r="C17" s="14">
        <v>-36.900399999999998</v>
      </c>
      <c r="D17" s="14">
        <v>-4.1519000000000004</v>
      </c>
      <c r="E17" s="14">
        <v>6.8776999999999999</v>
      </c>
      <c r="F17" s="14" t="s">
        <v>658</v>
      </c>
      <c r="G17" s="14" t="s">
        <v>658</v>
      </c>
      <c r="H17" s="14" t="s">
        <v>658</v>
      </c>
      <c r="I17" s="14" t="s">
        <v>658</v>
      </c>
      <c r="J17" s="14" t="s">
        <v>658</v>
      </c>
      <c r="K17" s="14" t="s">
        <v>658</v>
      </c>
      <c r="L17" s="14" t="s">
        <v>658</v>
      </c>
      <c r="M17" s="14" t="s">
        <v>658</v>
      </c>
      <c r="N17" s="14" t="s">
        <v>658</v>
      </c>
      <c r="O17" s="14" t="s">
        <v>658</v>
      </c>
      <c r="P17" s="14" t="s">
        <v>658</v>
      </c>
      <c r="Q17" s="14" t="s">
        <v>658</v>
      </c>
      <c r="R17" s="14" t="s">
        <v>658</v>
      </c>
      <c r="S17" s="14" t="s">
        <v>658</v>
      </c>
      <c r="T17" s="14" t="s">
        <v>658</v>
      </c>
      <c r="U17" s="14" t="s">
        <v>658</v>
      </c>
      <c r="V17" s="14" t="s">
        <v>658</v>
      </c>
      <c r="W17" s="14" t="s">
        <v>658</v>
      </c>
    </row>
    <row r="18" spans="1:23" x14ac:dyDescent="0.2">
      <c r="A18" s="10" t="s">
        <v>1016</v>
      </c>
      <c r="B18" s="10" t="s">
        <v>1017</v>
      </c>
      <c r="C18" s="14">
        <v>13.987</v>
      </c>
      <c r="D18" s="14">
        <v>-21.644400000000001</v>
      </c>
      <c r="E18" s="14">
        <v>-1.4927999999999999</v>
      </c>
      <c r="F18" s="14">
        <v>91.431299999999993</v>
      </c>
      <c r="G18" s="14">
        <v>108.6675</v>
      </c>
      <c r="H18" s="14">
        <v>7.2537000000000003</v>
      </c>
      <c r="I18" s="14">
        <v>0.1709</v>
      </c>
      <c r="J18" s="14">
        <v>31.7959</v>
      </c>
      <c r="K18" s="14">
        <v>9.7324000000000002</v>
      </c>
      <c r="L18" s="14">
        <v>0.69830000000000003</v>
      </c>
      <c r="M18" s="14">
        <v>-6.2662000000000004</v>
      </c>
      <c r="N18" s="14">
        <v>-4.7596999999999996</v>
      </c>
      <c r="O18" s="14">
        <v>0.2361</v>
      </c>
      <c r="P18" s="14">
        <v>-1.2063999999999999</v>
      </c>
      <c r="Q18" s="14">
        <v>2.1583000000000001</v>
      </c>
      <c r="R18" s="14">
        <v>14.5848</v>
      </c>
      <c r="S18" s="14">
        <v>-2.3538999999999999</v>
      </c>
      <c r="T18" s="14">
        <v>-1.0902000000000001</v>
      </c>
      <c r="U18" s="14">
        <v>2.0954999999999999</v>
      </c>
      <c r="V18" s="14">
        <v>-13.322900000000001</v>
      </c>
      <c r="W18" s="14">
        <v>27.025600000000001</v>
      </c>
    </row>
    <row r="19" spans="1:23" x14ac:dyDescent="0.2">
      <c r="A19" s="10" t="s">
        <v>317</v>
      </c>
      <c r="B19" s="10" t="s">
        <v>1018</v>
      </c>
      <c r="C19" s="14">
        <v>98.154700000000005</v>
      </c>
      <c r="D19" s="14">
        <v>7.0507999999999997</v>
      </c>
      <c r="E19" s="14">
        <v>1.5868</v>
      </c>
      <c r="F19" s="14">
        <v>3.4517000000000002</v>
      </c>
      <c r="G19" s="14">
        <v>48.824100000000001</v>
      </c>
      <c r="H19" s="14">
        <v>-8.9710000000000001</v>
      </c>
      <c r="I19" s="14">
        <v>6.0119999999999996</v>
      </c>
      <c r="J19" s="14">
        <v>29.671199999999999</v>
      </c>
      <c r="K19" s="14">
        <v>11.4611</v>
      </c>
      <c r="L19" s="14">
        <v>48.757899999999999</v>
      </c>
      <c r="M19" s="14">
        <v>3.9</v>
      </c>
      <c r="N19" s="14">
        <v>9.0950000000000006</v>
      </c>
      <c r="O19" s="14">
        <v>-3.1120999999999999</v>
      </c>
      <c r="P19" s="14">
        <v>6.6853999999999996</v>
      </c>
      <c r="Q19" s="14">
        <v>13.733000000000001</v>
      </c>
      <c r="R19" s="14">
        <v>16.468</v>
      </c>
      <c r="S19" s="14">
        <v>-10.095499999999999</v>
      </c>
      <c r="T19" s="14">
        <v>22.209299999999999</v>
      </c>
      <c r="U19" s="14">
        <v>15.462999999999999</v>
      </c>
      <c r="V19" s="14">
        <v>14.1976</v>
      </c>
      <c r="W19" s="14">
        <v>40.535499999999999</v>
      </c>
    </row>
    <row r="20" spans="1:23" x14ac:dyDescent="0.2">
      <c r="A20" s="10" t="s">
        <v>1019</v>
      </c>
      <c r="B20" s="10" t="s">
        <v>1020</v>
      </c>
      <c r="C20" s="14">
        <v>85.249399999999994</v>
      </c>
      <c r="D20" s="14">
        <v>0.48520000000000002</v>
      </c>
      <c r="E20" s="14">
        <v>4.8682999999999996</v>
      </c>
      <c r="F20" s="14">
        <v>4.1650999999999998</v>
      </c>
      <c r="G20" s="14">
        <v>22.717199999999998</v>
      </c>
      <c r="H20" s="14">
        <v>-21.4466</v>
      </c>
      <c r="I20" s="14">
        <v>17.412199999999999</v>
      </c>
      <c r="J20" s="14">
        <v>18.927099999999999</v>
      </c>
      <c r="K20" s="14">
        <v>-1.8754</v>
      </c>
      <c r="L20" s="14">
        <v>42.9206</v>
      </c>
      <c r="M20" s="14">
        <v>30.558800000000002</v>
      </c>
      <c r="N20" s="14">
        <v>18.0031</v>
      </c>
      <c r="O20" s="14">
        <v>-1.8673</v>
      </c>
      <c r="P20" s="14">
        <v>4.3521999999999998</v>
      </c>
      <c r="Q20" s="14">
        <v>27.327500000000001</v>
      </c>
      <c r="R20" s="14">
        <v>6.2888000000000002</v>
      </c>
      <c r="S20" s="14">
        <v>-48.5762</v>
      </c>
      <c r="T20" s="14">
        <v>53.897300000000001</v>
      </c>
      <c r="U20" s="14">
        <v>7.5343</v>
      </c>
      <c r="V20" s="14">
        <v>19.446899999999999</v>
      </c>
      <c r="W20" s="14">
        <v>-12.0383</v>
      </c>
    </row>
    <row r="21" spans="1:23" x14ac:dyDescent="0.2">
      <c r="A21" s="10" t="s">
        <v>1021</v>
      </c>
      <c r="B21" s="10" t="s">
        <v>1022</v>
      </c>
      <c r="C21" s="14">
        <v>573.60270000000003</v>
      </c>
      <c r="D21" s="14">
        <v>-64.451700000000002</v>
      </c>
      <c r="E21" s="14">
        <v>34.384500000000003</v>
      </c>
      <c r="F21" s="14">
        <v>-26.214300000000001</v>
      </c>
      <c r="G21" s="14">
        <v>65.688900000000004</v>
      </c>
      <c r="H21" s="14">
        <v>22.509899999999998</v>
      </c>
      <c r="I21" s="14">
        <v>30.0032</v>
      </c>
      <c r="J21" s="14">
        <v>-39.484900000000003</v>
      </c>
      <c r="K21" s="14">
        <v>48.2913</v>
      </c>
      <c r="L21" s="14">
        <v>88.523499999999999</v>
      </c>
      <c r="M21" s="14">
        <v>12.8681</v>
      </c>
      <c r="N21" s="14">
        <v>6.5171000000000001</v>
      </c>
      <c r="O21" s="14">
        <v>1.1581999999999999</v>
      </c>
      <c r="P21" s="14">
        <v>-9.3721999999999994</v>
      </c>
      <c r="Q21" s="14">
        <v>28.792000000000002</v>
      </c>
      <c r="R21" s="14">
        <v>18.4361</v>
      </c>
      <c r="S21" s="14">
        <v>36.008000000000003</v>
      </c>
      <c r="T21" s="14">
        <v>20.310300000000002</v>
      </c>
      <c r="U21" s="14">
        <v>24.851900000000001</v>
      </c>
      <c r="V21" s="14">
        <v>2.8549000000000002</v>
      </c>
      <c r="W21" s="14">
        <v>-20.088799999999999</v>
      </c>
    </row>
    <row r="22" spans="1:23" x14ac:dyDescent="0.2">
      <c r="A22" s="10" t="s">
        <v>1023</v>
      </c>
      <c r="B22" s="10" t="s">
        <v>1024</v>
      </c>
      <c r="C22" s="14" t="s">
        <v>658</v>
      </c>
      <c r="D22" s="14" t="s">
        <v>658</v>
      </c>
      <c r="E22" s="14" t="s">
        <v>658</v>
      </c>
      <c r="F22" s="14">
        <v>-2.4390000000000001</v>
      </c>
      <c r="G22" s="14">
        <v>72.083299999999994</v>
      </c>
      <c r="H22" s="14">
        <v>11.2591</v>
      </c>
      <c r="I22" s="14">
        <v>13.529199999999999</v>
      </c>
      <c r="J22" s="14">
        <v>46.9649</v>
      </c>
      <c r="K22" s="14">
        <v>-5.5651999999999999</v>
      </c>
      <c r="L22" s="14" t="s">
        <v>658</v>
      </c>
      <c r="M22" s="14" t="s">
        <v>658</v>
      </c>
      <c r="N22" s="14" t="s">
        <v>658</v>
      </c>
      <c r="O22" s="14">
        <v>174.2749</v>
      </c>
      <c r="P22" s="14">
        <v>11.494300000000001</v>
      </c>
      <c r="Q22" s="14">
        <v>-46.814399999999999</v>
      </c>
      <c r="R22" s="14">
        <v>7.4821</v>
      </c>
      <c r="S22" s="14">
        <v>9.5040999999999993</v>
      </c>
      <c r="T22" s="14">
        <v>6.3734999999999999</v>
      </c>
      <c r="U22" s="14">
        <v>5.1092000000000004</v>
      </c>
      <c r="V22" s="14">
        <v>0.53029999999999999</v>
      </c>
      <c r="W22" s="14">
        <v>-27.296700000000001</v>
      </c>
    </row>
    <row r="23" spans="1:23" x14ac:dyDescent="0.2">
      <c r="A23" s="10" t="s">
        <v>1025</v>
      </c>
      <c r="B23" s="10" t="s">
        <v>1026</v>
      </c>
      <c r="C23" s="14">
        <v>-1.3967000000000001</v>
      </c>
      <c r="D23" s="14">
        <v>70.147599999999997</v>
      </c>
      <c r="E23" s="14">
        <v>-50.075000000000003</v>
      </c>
      <c r="F23" s="14">
        <v>18.893999999999998</v>
      </c>
      <c r="G23" s="14">
        <v>99.612099999999998</v>
      </c>
      <c r="H23" s="14">
        <v>-22.294899999999998</v>
      </c>
      <c r="I23" s="14">
        <v>-7.9725999999999999</v>
      </c>
      <c r="J23" s="14">
        <v>394.26830000000001</v>
      </c>
      <c r="K23" s="14">
        <v>69.547600000000003</v>
      </c>
      <c r="L23" s="14">
        <v>39.503300000000003</v>
      </c>
      <c r="M23" s="14">
        <v>-20.068899999999999</v>
      </c>
      <c r="N23" s="14">
        <v>0.13869999999999999</v>
      </c>
      <c r="O23" s="14">
        <v>16.928100000000001</v>
      </c>
      <c r="P23" s="14">
        <v>12.3629</v>
      </c>
      <c r="Q23" s="14">
        <v>6.3819999999999997</v>
      </c>
      <c r="R23" s="14">
        <v>20.885899999999999</v>
      </c>
      <c r="S23" s="14">
        <v>-0.21290000000000001</v>
      </c>
      <c r="T23" s="14">
        <v>11.570399999999999</v>
      </c>
      <c r="U23" s="14">
        <v>13.5547</v>
      </c>
      <c r="V23" s="14">
        <v>-11.3188</v>
      </c>
      <c r="W23" s="14">
        <v>37.6143</v>
      </c>
    </row>
    <row r="24" spans="1:23" x14ac:dyDescent="0.2">
      <c r="A24" s="10" t="s">
        <v>1027</v>
      </c>
      <c r="B24" s="10" t="s">
        <v>1028</v>
      </c>
      <c r="C24" s="14" t="s">
        <v>658</v>
      </c>
      <c r="D24" s="14" t="s">
        <v>658</v>
      </c>
      <c r="E24" s="14" t="s">
        <v>658</v>
      </c>
      <c r="F24" s="14" t="s">
        <v>658</v>
      </c>
      <c r="G24" s="14" t="s">
        <v>658</v>
      </c>
      <c r="H24" s="14">
        <v>-56.9315</v>
      </c>
      <c r="I24" s="14">
        <v>157.29150000000001</v>
      </c>
      <c r="J24" s="14">
        <v>367.4298</v>
      </c>
      <c r="K24" s="14">
        <v>-17.184699999999999</v>
      </c>
      <c r="L24" s="14">
        <v>0.65139999999999998</v>
      </c>
      <c r="M24" s="14">
        <v>36.192999999999998</v>
      </c>
      <c r="N24" s="14">
        <v>3.7414999999999998</v>
      </c>
      <c r="O24" s="14">
        <v>-62.3001</v>
      </c>
      <c r="P24" s="14">
        <v>214.643</v>
      </c>
      <c r="Q24" s="14">
        <v>-45.468499999999999</v>
      </c>
      <c r="R24" s="14">
        <v>199.2698</v>
      </c>
      <c r="S24" s="14">
        <v>-91.089200000000005</v>
      </c>
      <c r="T24" s="14">
        <v>491.10579999999999</v>
      </c>
      <c r="U24" s="14">
        <v>-85.112399999999994</v>
      </c>
      <c r="V24" s="14">
        <v>17.814699999999998</v>
      </c>
      <c r="W24" s="14">
        <v>273.18549999999999</v>
      </c>
    </row>
    <row r="25" spans="1:23" x14ac:dyDescent="0.2">
      <c r="A25" s="10" t="s">
        <v>1029</v>
      </c>
      <c r="B25" s="10" t="s">
        <v>1030</v>
      </c>
      <c r="C25" s="14" t="s">
        <v>658</v>
      </c>
      <c r="D25" s="14" t="s">
        <v>658</v>
      </c>
      <c r="E25" s="14" t="s">
        <v>658</v>
      </c>
      <c r="F25" s="14" t="s">
        <v>658</v>
      </c>
      <c r="G25" s="14" t="s">
        <v>658</v>
      </c>
      <c r="H25" s="14">
        <v>-56.9315</v>
      </c>
      <c r="I25" s="14">
        <v>157.29150000000001</v>
      </c>
      <c r="J25" s="14">
        <v>367.4298</v>
      </c>
      <c r="K25" s="14">
        <v>-17.184699999999999</v>
      </c>
      <c r="L25" s="14">
        <v>133.97640000000001</v>
      </c>
      <c r="M25" s="14">
        <v>1.0484</v>
      </c>
      <c r="N25" s="14">
        <v>-2.2822</v>
      </c>
      <c r="O25" s="14">
        <v>-67.871099999999998</v>
      </c>
      <c r="P25" s="14">
        <v>127.2555</v>
      </c>
      <c r="Q25" s="14">
        <v>-45.468499999999999</v>
      </c>
      <c r="R25" s="14">
        <v>229.7723</v>
      </c>
      <c r="S25" s="14">
        <v>-83.039100000000005</v>
      </c>
      <c r="T25" s="14">
        <v>214.03729999999999</v>
      </c>
      <c r="U25" s="14">
        <v>-66.265199999999993</v>
      </c>
      <c r="V25" s="14">
        <v>-18.2502</v>
      </c>
      <c r="W25" s="14">
        <v>992.75030000000004</v>
      </c>
    </row>
    <row r="26" spans="1:23" x14ac:dyDescent="0.2">
      <c r="A26" s="10" t="s">
        <v>782</v>
      </c>
      <c r="B26" s="10" t="s">
        <v>1031</v>
      </c>
      <c r="C26" s="14">
        <v>152.45339999999999</v>
      </c>
      <c r="D26" s="14">
        <v>5.5274000000000001</v>
      </c>
      <c r="E26" s="14">
        <v>3.8957999999999999</v>
      </c>
      <c r="F26" s="14">
        <v>2.9217</v>
      </c>
      <c r="G26" s="14">
        <v>32.280200000000001</v>
      </c>
      <c r="H26" s="14">
        <v>-3.5739999999999998</v>
      </c>
      <c r="I26" s="14">
        <v>5.5956999999999999</v>
      </c>
      <c r="J26" s="14">
        <v>10.4504</v>
      </c>
      <c r="K26" s="14">
        <v>12.993499999999999</v>
      </c>
      <c r="L26" s="14">
        <v>42.794499999999999</v>
      </c>
      <c r="M26" s="14">
        <v>10.2087</v>
      </c>
      <c r="N26" s="14">
        <v>9.8190000000000008</v>
      </c>
      <c r="O26" s="14">
        <v>2.2336</v>
      </c>
      <c r="P26" s="14">
        <v>4.6931000000000003</v>
      </c>
      <c r="Q26" s="14">
        <v>16.5731</v>
      </c>
      <c r="R26" s="14">
        <v>4.2079000000000004</v>
      </c>
      <c r="S26" s="14">
        <v>1.0364</v>
      </c>
      <c r="T26" s="14">
        <v>19.3188</v>
      </c>
      <c r="U26" s="14">
        <v>21.9467</v>
      </c>
      <c r="V26" s="14">
        <v>17.296700000000001</v>
      </c>
      <c r="W26" s="14">
        <v>11.114699999999999</v>
      </c>
    </row>
    <row r="27" spans="1:23" x14ac:dyDescent="0.2">
      <c r="A27" s="10" t="s">
        <v>1032</v>
      </c>
      <c r="B27" s="10" t="s">
        <v>1033</v>
      </c>
      <c r="C27" s="14">
        <v>121.43989999999999</v>
      </c>
      <c r="D27" s="14">
        <v>5.5274000000000001</v>
      </c>
      <c r="E27" s="14">
        <v>3.8957999999999999</v>
      </c>
      <c r="F27" s="14">
        <v>2.9217</v>
      </c>
      <c r="G27" s="14">
        <v>37.131900000000002</v>
      </c>
      <c r="H27" s="14">
        <v>-5.4617000000000004</v>
      </c>
      <c r="I27" s="14">
        <v>8.0406999999999993</v>
      </c>
      <c r="J27" s="14">
        <v>24.1524</v>
      </c>
      <c r="K27" s="14">
        <v>8.6324000000000005</v>
      </c>
      <c r="L27" s="14">
        <v>52.839799999999997</v>
      </c>
      <c r="M27" s="14">
        <v>8.6638000000000002</v>
      </c>
      <c r="N27" s="14">
        <v>7.9211</v>
      </c>
      <c r="O27" s="14">
        <v>-7.7215999999999996</v>
      </c>
      <c r="P27" s="14">
        <v>10.7529</v>
      </c>
      <c r="Q27" s="14">
        <v>10.279</v>
      </c>
      <c r="R27" s="14">
        <v>15.5236</v>
      </c>
      <c r="S27" s="14">
        <v>-11.003500000000001</v>
      </c>
      <c r="T27" s="14">
        <v>24.632999999999999</v>
      </c>
      <c r="U27" s="14">
        <v>15.880599999999999</v>
      </c>
      <c r="V27" s="14">
        <v>16.585100000000001</v>
      </c>
      <c r="W27" s="14">
        <v>24.894400000000001</v>
      </c>
    </row>
    <row r="28" spans="1:23" x14ac:dyDescent="0.2">
      <c r="A28" s="10" t="s">
        <v>1034</v>
      </c>
      <c r="B28" s="10" t="s">
        <v>1035</v>
      </c>
      <c r="C28" s="14">
        <v>99.210300000000004</v>
      </c>
      <c r="D28" s="14">
        <v>5.4829999999999997</v>
      </c>
      <c r="E28" s="14">
        <v>3.6406999999999998</v>
      </c>
      <c r="F28" s="14">
        <v>2.9217</v>
      </c>
      <c r="G28" s="14">
        <v>-16.322600000000001</v>
      </c>
      <c r="H28" s="14">
        <v>5.1332000000000004</v>
      </c>
      <c r="I28" s="14">
        <v>4.9127000000000001</v>
      </c>
      <c r="J28" s="14">
        <v>8.3793000000000006</v>
      </c>
      <c r="K28" s="14">
        <v>9.7433999999999994</v>
      </c>
      <c r="L28" s="14">
        <v>12.8727</v>
      </c>
      <c r="M28" s="14">
        <v>13.5093</v>
      </c>
      <c r="N28" s="14">
        <v>10.0504</v>
      </c>
      <c r="O28" s="14">
        <v>26.356400000000001</v>
      </c>
      <c r="P28" s="14">
        <v>2.9615999999999998</v>
      </c>
      <c r="Q28" s="14">
        <v>17.1265</v>
      </c>
      <c r="R28" s="14">
        <v>7.1780999999999997</v>
      </c>
      <c r="S28" s="14">
        <v>4.3806000000000003</v>
      </c>
      <c r="T28" s="14">
        <v>19.7041</v>
      </c>
      <c r="U28" s="14">
        <v>22.277699999999999</v>
      </c>
      <c r="V28" s="14">
        <v>17.1692</v>
      </c>
      <c r="W28" s="14">
        <v>10.841200000000001</v>
      </c>
    </row>
    <row r="29" spans="1:23" x14ac:dyDescent="0.2">
      <c r="A29" s="10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 spans="1:23" x14ac:dyDescent="0.2">
      <c r="A30" s="10" t="s">
        <v>1036</v>
      </c>
      <c r="B30" s="10" t="s">
        <v>1037</v>
      </c>
      <c r="C30" s="14">
        <v>-69.98</v>
      </c>
      <c r="D30" s="14">
        <v>190.82220000000001</v>
      </c>
      <c r="E30" s="14">
        <v>54.746600000000001</v>
      </c>
      <c r="F30" s="14" t="s">
        <v>658</v>
      </c>
      <c r="G30" s="14" t="s">
        <v>658</v>
      </c>
      <c r="H30" s="14">
        <v>148.2388</v>
      </c>
      <c r="I30" s="14">
        <v>-56.420900000000003</v>
      </c>
      <c r="J30" s="14">
        <v>173.85669999999999</v>
      </c>
      <c r="K30" s="14">
        <v>50.903300000000002</v>
      </c>
      <c r="L30" s="14">
        <v>-86.993600000000001</v>
      </c>
      <c r="M30" s="14">
        <v>672.72850000000005</v>
      </c>
      <c r="N30" s="14">
        <v>27.456499999999998</v>
      </c>
      <c r="O30" s="14">
        <v>16.501300000000001</v>
      </c>
      <c r="P30" s="14">
        <v>-39.302100000000003</v>
      </c>
      <c r="Q30" s="14">
        <v>76.099800000000002</v>
      </c>
      <c r="R30" s="14">
        <v>-3.5057999999999998</v>
      </c>
      <c r="S30" s="14">
        <v>26.832000000000001</v>
      </c>
      <c r="T30" s="14">
        <v>75.209900000000005</v>
      </c>
      <c r="U30" s="14">
        <v>-24.567599999999999</v>
      </c>
      <c r="V30" s="14">
        <v>42.807699999999997</v>
      </c>
      <c r="W30" s="14">
        <v>19.786899999999999</v>
      </c>
    </row>
    <row r="31" spans="1:23" x14ac:dyDescent="0.2">
      <c r="A31" s="10" t="s">
        <v>907</v>
      </c>
      <c r="B31" s="10" t="s">
        <v>1038</v>
      </c>
      <c r="C31" s="14">
        <v>39.158900000000003</v>
      </c>
      <c r="D31" s="14">
        <v>95.566599999999994</v>
      </c>
      <c r="E31" s="14">
        <v>-30.099900000000002</v>
      </c>
      <c r="F31" s="14">
        <v>96.617800000000003</v>
      </c>
      <c r="G31" s="14">
        <v>-17.213799999999999</v>
      </c>
      <c r="H31" s="14">
        <v>35.532499999999999</v>
      </c>
      <c r="I31" s="14">
        <v>7.9474</v>
      </c>
      <c r="J31" s="14">
        <v>471.13350000000003</v>
      </c>
      <c r="K31" s="14">
        <v>-80.821200000000005</v>
      </c>
      <c r="L31" s="14">
        <v>453.35700000000003</v>
      </c>
      <c r="M31" s="14">
        <v>-81.004400000000004</v>
      </c>
      <c r="N31" s="14">
        <v>57.369199999999999</v>
      </c>
      <c r="O31" s="14">
        <v>3.7679</v>
      </c>
      <c r="P31" s="14">
        <v>71.808700000000002</v>
      </c>
      <c r="Q31" s="14">
        <v>-47.494399999999999</v>
      </c>
      <c r="R31" s="14">
        <v>-20.7258</v>
      </c>
      <c r="S31" s="14">
        <v>-21.871099999999998</v>
      </c>
      <c r="T31" s="14">
        <v>48.5747</v>
      </c>
      <c r="U31" s="14">
        <v>63.530500000000004</v>
      </c>
      <c r="V31" s="14">
        <v>-59.1126</v>
      </c>
      <c r="W31" s="14">
        <v>120.1717</v>
      </c>
    </row>
    <row r="32" spans="1:23" x14ac:dyDescent="0.2">
      <c r="A32" s="10" t="s">
        <v>957</v>
      </c>
      <c r="B32" s="10" t="s">
        <v>1039</v>
      </c>
      <c r="C32" s="14" t="s">
        <v>658</v>
      </c>
      <c r="D32" s="14" t="s">
        <v>658</v>
      </c>
      <c r="E32" s="14">
        <v>-10.686199999999999</v>
      </c>
      <c r="F32" s="14" t="s">
        <v>658</v>
      </c>
      <c r="G32" s="14" t="s">
        <v>658</v>
      </c>
      <c r="H32" s="14" t="s">
        <v>658</v>
      </c>
      <c r="I32" s="14">
        <v>29.427199999999999</v>
      </c>
      <c r="J32" s="14" t="s">
        <v>658</v>
      </c>
      <c r="K32" s="14" t="s">
        <v>658</v>
      </c>
      <c r="L32" s="14" t="s">
        <v>658</v>
      </c>
      <c r="M32" s="14">
        <v>-23.148900000000001</v>
      </c>
      <c r="N32" s="14" t="s">
        <v>658</v>
      </c>
      <c r="O32" s="14" t="s">
        <v>658</v>
      </c>
      <c r="P32" s="14">
        <v>82.796099999999996</v>
      </c>
      <c r="Q32" s="14" t="s">
        <v>658</v>
      </c>
      <c r="R32" s="14" t="s">
        <v>658</v>
      </c>
      <c r="S32" s="14" t="s">
        <v>658</v>
      </c>
      <c r="T32" s="14" t="s">
        <v>658</v>
      </c>
      <c r="U32" s="14" t="s">
        <v>658</v>
      </c>
      <c r="V32" s="14">
        <v>2.1619999999999999</v>
      </c>
      <c r="W32" s="14" t="s">
        <v>658</v>
      </c>
    </row>
    <row r="33" spans="1:23" x14ac:dyDescent="0.2">
      <c r="A33" s="10" t="s">
        <v>1040</v>
      </c>
      <c r="B33" s="10" t="s">
        <v>1041</v>
      </c>
      <c r="C33" s="14">
        <v>-89.956400000000002</v>
      </c>
      <c r="D33" s="14">
        <v>432.39589999999998</v>
      </c>
      <c r="E33" s="14">
        <v>133.78790000000001</v>
      </c>
      <c r="F33" s="14" t="s">
        <v>658</v>
      </c>
      <c r="G33" s="14" t="s">
        <v>658</v>
      </c>
      <c r="H33" s="14">
        <v>1046.2416000000001</v>
      </c>
      <c r="I33" s="14" t="s">
        <v>658</v>
      </c>
      <c r="J33" s="14">
        <v>-1945.7364</v>
      </c>
      <c r="K33" s="14" t="s">
        <v>658</v>
      </c>
      <c r="L33" s="14" t="s">
        <v>658</v>
      </c>
      <c r="M33" s="14" t="s">
        <v>658</v>
      </c>
      <c r="N33" s="14">
        <v>12.5161</v>
      </c>
      <c r="O33" s="14">
        <v>25.396599999999999</v>
      </c>
      <c r="P33" s="14" t="s">
        <v>658</v>
      </c>
      <c r="Q33" s="14" t="s">
        <v>658</v>
      </c>
      <c r="R33" s="14">
        <v>4.2001999999999997</v>
      </c>
      <c r="S33" s="14">
        <v>43.4133</v>
      </c>
      <c r="T33" s="14">
        <v>80.150000000000006</v>
      </c>
      <c r="U33" s="14">
        <v>-38.043599999999998</v>
      </c>
      <c r="V33" s="14">
        <v>83.957499999999996</v>
      </c>
      <c r="W33" s="14">
        <v>10.778499999999999</v>
      </c>
    </row>
    <row r="34" spans="1:23" x14ac:dyDescent="0.2">
      <c r="A34" s="10" t="s">
        <v>1042</v>
      </c>
      <c r="B34" s="10" t="s">
        <v>1043</v>
      </c>
      <c r="C34" s="14">
        <v>-70.311800000000005</v>
      </c>
      <c r="D34" s="14" t="s">
        <v>658</v>
      </c>
      <c r="E34" s="14" t="s">
        <v>658</v>
      </c>
      <c r="F34" s="14" t="s">
        <v>658</v>
      </c>
      <c r="G34" s="14" t="s">
        <v>658</v>
      </c>
      <c r="H34" s="14">
        <v>137.9606</v>
      </c>
      <c r="I34" s="14">
        <v>-55.8797</v>
      </c>
      <c r="J34" s="14">
        <v>177.58860000000001</v>
      </c>
      <c r="K34" s="14">
        <v>53.094299999999997</v>
      </c>
      <c r="L34" s="14">
        <v>-82.302199999999999</v>
      </c>
      <c r="M34" s="14">
        <v>492.55700000000002</v>
      </c>
      <c r="N34" s="14">
        <v>24.787199999999999</v>
      </c>
      <c r="O34" s="14">
        <v>14.8247</v>
      </c>
      <c r="P34" s="14">
        <v>-38.509500000000003</v>
      </c>
      <c r="Q34" s="14">
        <v>71.3</v>
      </c>
      <c r="R34" s="14">
        <v>-3.6640999999999999</v>
      </c>
      <c r="S34" s="14">
        <v>25.2209</v>
      </c>
      <c r="T34" s="14">
        <v>72.9328</v>
      </c>
      <c r="U34" s="14">
        <v>-24.3249</v>
      </c>
      <c r="V34" s="14">
        <v>41.6051</v>
      </c>
      <c r="W34" s="14">
        <v>23.007100000000001</v>
      </c>
    </row>
    <row r="35" spans="1:23" x14ac:dyDescent="0.2">
      <c r="A35" s="10" t="s">
        <v>1044</v>
      </c>
      <c r="B35" s="10" t="s">
        <v>1045</v>
      </c>
      <c r="C35" s="14">
        <v>-89.665599999999998</v>
      </c>
      <c r="D35" s="14" t="s">
        <v>658</v>
      </c>
      <c r="E35" s="14" t="s">
        <v>658</v>
      </c>
      <c r="F35" s="14" t="s">
        <v>658</v>
      </c>
      <c r="G35" s="14" t="s">
        <v>658</v>
      </c>
      <c r="H35" s="14">
        <v>697.22339999999997</v>
      </c>
      <c r="I35" s="14" t="s">
        <v>658</v>
      </c>
      <c r="J35" s="14">
        <v>-2122.0807</v>
      </c>
      <c r="K35" s="14" t="s">
        <v>658</v>
      </c>
      <c r="L35" s="14" t="s">
        <v>658</v>
      </c>
      <c r="M35" s="14" t="s">
        <v>658</v>
      </c>
      <c r="N35" s="14">
        <v>10.536799999999999</v>
      </c>
      <c r="O35" s="14">
        <v>21.709499999999998</v>
      </c>
      <c r="P35" s="14">
        <v>-97.075699999999998</v>
      </c>
      <c r="Q35" s="14">
        <v>3776.5666999999999</v>
      </c>
      <c r="R35" s="14">
        <v>3.5438000000000001</v>
      </c>
      <c r="S35" s="14">
        <v>40.452199999999998</v>
      </c>
      <c r="T35" s="14">
        <v>77.315200000000004</v>
      </c>
      <c r="U35" s="14">
        <v>-37.569600000000001</v>
      </c>
      <c r="V35" s="14">
        <v>81.377300000000005</v>
      </c>
      <c r="W35" s="14">
        <v>14.357699999999999</v>
      </c>
    </row>
    <row r="36" spans="1:23" x14ac:dyDescent="0.2">
      <c r="A36" s="10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 spans="1:23" x14ac:dyDescent="0.2">
      <c r="A37" s="6" t="s">
        <v>1046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spans="1:23" x14ac:dyDescent="0.2">
      <c r="A38" s="10" t="s">
        <v>0</v>
      </c>
      <c r="B38" s="10" t="s">
        <v>1047</v>
      </c>
      <c r="C38" s="14" t="s">
        <v>658</v>
      </c>
      <c r="D38" s="14" t="s">
        <v>658</v>
      </c>
      <c r="E38" s="14" t="s">
        <v>658</v>
      </c>
      <c r="F38" s="14" t="s">
        <v>658</v>
      </c>
      <c r="G38" s="14">
        <v>23.825399999999998</v>
      </c>
      <c r="H38" s="14">
        <v>11.0265</v>
      </c>
      <c r="I38" s="14">
        <v>14.6068</v>
      </c>
      <c r="J38" s="14">
        <v>24.3416</v>
      </c>
      <c r="K38" s="14">
        <v>30.6675</v>
      </c>
      <c r="L38" s="14">
        <v>19.577500000000001</v>
      </c>
      <c r="M38" s="14">
        <v>26.784500000000001</v>
      </c>
      <c r="N38" s="14">
        <v>24.276399999999999</v>
      </c>
      <c r="O38" s="14">
        <v>14.4335</v>
      </c>
      <c r="P38" s="14">
        <v>10.6014</v>
      </c>
      <c r="Q38" s="14">
        <v>9.0855999999999995</v>
      </c>
      <c r="R38" s="14">
        <v>7.7633000000000001</v>
      </c>
      <c r="S38" s="14">
        <v>7.0807000000000002</v>
      </c>
      <c r="T38" s="14">
        <v>6.7323000000000004</v>
      </c>
      <c r="U38" s="14">
        <v>9.8977000000000004</v>
      </c>
      <c r="V38" s="14">
        <v>6.4576000000000002</v>
      </c>
      <c r="W38" s="14">
        <v>7.4481000000000002</v>
      </c>
    </row>
    <row r="39" spans="1:23" x14ac:dyDescent="0.2">
      <c r="A39" s="10" t="s">
        <v>205</v>
      </c>
      <c r="B39" s="10" t="s">
        <v>1048</v>
      </c>
      <c r="C39" s="14" t="s">
        <v>658</v>
      </c>
      <c r="D39" s="14" t="s">
        <v>658</v>
      </c>
      <c r="E39" s="14" t="s">
        <v>658</v>
      </c>
      <c r="F39" s="14" t="s">
        <v>658</v>
      </c>
      <c r="G39" s="14">
        <v>2.1859000000000002</v>
      </c>
      <c r="H39" s="14">
        <v>-12.27</v>
      </c>
      <c r="I39" s="14">
        <v>-5.5206999999999997</v>
      </c>
      <c r="J39" s="14">
        <v>23.592400000000001</v>
      </c>
      <c r="K39" s="14">
        <v>38.8157</v>
      </c>
      <c r="L39" s="14">
        <v>22.811499999999999</v>
      </c>
      <c r="M39" s="14">
        <v>47.372</v>
      </c>
      <c r="N39" s="14">
        <v>37.5306</v>
      </c>
      <c r="O39" s="14">
        <v>14.723599999999999</v>
      </c>
      <c r="P39" s="14">
        <v>9.7690000000000001</v>
      </c>
      <c r="Q39" s="14">
        <v>8.0356000000000005</v>
      </c>
      <c r="R39" s="14">
        <v>5.5326000000000004</v>
      </c>
      <c r="S39" s="14">
        <v>11.460900000000001</v>
      </c>
      <c r="T39" s="14">
        <v>19.042899999999999</v>
      </c>
      <c r="U39" s="14">
        <v>24.2133</v>
      </c>
      <c r="V39" s="14">
        <v>12.7585</v>
      </c>
      <c r="W39" s="14">
        <v>15.206099999999999</v>
      </c>
    </row>
    <row r="40" spans="1:23" x14ac:dyDescent="0.2">
      <c r="A40" s="10" t="s">
        <v>1000</v>
      </c>
      <c r="B40" s="10" t="s">
        <v>1049</v>
      </c>
      <c r="C40" s="14" t="s">
        <v>658</v>
      </c>
      <c r="D40" s="14" t="s">
        <v>658</v>
      </c>
      <c r="E40" s="14" t="s">
        <v>658</v>
      </c>
      <c r="F40" s="14" t="s">
        <v>658</v>
      </c>
      <c r="G40" s="14">
        <v>-1.8655999999999999</v>
      </c>
      <c r="H40" s="14">
        <v>-26.441299999999998</v>
      </c>
      <c r="I40" s="14">
        <v>-16.939800000000002</v>
      </c>
      <c r="J40" s="14">
        <v>27.175999999999998</v>
      </c>
      <c r="K40" s="14">
        <v>54.720599999999997</v>
      </c>
      <c r="L40" s="14">
        <v>25.628499999999999</v>
      </c>
      <c r="M40" s="14">
        <v>71.4221</v>
      </c>
      <c r="N40" s="14">
        <v>50.024700000000003</v>
      </c>
      <c r="O40" s="14">
        <v>12.917899999999999</v>
      </c>
      <c r="P40" s="14">
        <v>9.3605999999999998</v>
      </c>
      <c r="Q40" s="14">
        <v>7.5624000000000002</v>
      </c>
      <c r="R40" s="14">
        <v>5.7976000000000001</v>
      </c>
      <c r="S40" s="14">
        <v>16.055499999999999</v>
      </c>
      <c r="T40" s="14">
        <v>24.487500000000001</v>
      </c>
      <c r="U40" s="14">
        <v>27.4651</v>
      </c>
      <c r="V40" s="14">
        <v>14.0151</v>
      </c>
      <c r="W40" s="14">
        <v>15.9209</v>
      </c>
    </row>
    <row r="41" spans="1:23" x14ac:dyDescent="0.2">
      <c r="A41" s="10" t="s">
        <v>1002</v>
      </c>
      <c r="B41" s="10" t="s">
        <v>1050</v>
      </c>
      <c r="C41" s="14" t="s">
        <v>658</v>
      </c>
      <c r="D41" s="14" t="s">
        <v>658</v>
      </c>
      <c r="E41" s="14" t="s">
        <v>658</v>
      </c>
      <c r="F41" s="14" t="s">
        <v>658</v>
      </c>
      <c r="G41" s="14">
        <v>-2.0440999999999998</v>
      </c>
      <c r="H41" s="14">
        <v>-1.5634999999999999</v>
      </c>
      <c r="I41" s="14">
        <v>0.1265</v>
      </c>
      <c r="J41" s="14">
        <v>15.3657</v>
      </c>
      <c r="K41" s="14">
        <v>23.874300000000002</v>
      </c>
      <c r="L41" s="14">
        <v>13.846500000000001</v>
      </c>
      <c r="M41" s="14">
        <v>14.2553</v>
      </c>
      <c r="N41" s="14">
        <v>16.602900000000002</v>
      </c>
      <c r="O41" s="14">
        <v>27.531099999999999</v>
      </c>
      <c r="P41" s="14">
        <v>19.033300000000001</v>
      </c>
      <c r="Q41" s="14">
        <v>8.8779000000000003</v>
      </c>
      <c r="R41" s="14">
        <v>8.0861000000000001</v>
      </c>
      <c r="S41" s="14">
        <v>12.2081</v>
      </c>
      <c r="T41" s="14">
        <v>11.807600000000001</v>
      </c>
      <c r="U41" s="14">
        <v>24.1418</v>
      </c>
      <c r="V41" s="14">
        <v>21.612100000000002</v>
      </c>
      <c r="W41" s="14">
        <v>26.319800000000001</v>
      </c>
    </row>
    <row r="42" spans="1:23" x14ac:dyDescent="0.2">
      <c r="A42" s="10" t="s">
        <v>1004</v>
      </c>
      <c r="B42" s="10" t="s">
        <v>1051</v>
      </c>
      <c r="C42" s="14" t="s">
        <v>658</v>
      </c>
      <c r="D42" s="14" t="s">
        <v>658</v>
      </c>
      <c r="E42" s="14" t="s">
        <v>658</v>
      </c>
      <c r="F42" s="14" t="s">
        <v>658</v>
      </c>
      <c r="G42" s="14">
        <v>-13.7424</v>
      </c>
      <c r="H42" s="14">
        <v>-8.8385999999999996</v>
      </c>
      <c r="I42" s="14">
        <v>-7.4267000000000003</v>
      </c>
      <c r="J42" s="14">
        <v>6.4936999999999996</v>
      </c>
      <c r="K42" s="14">
        <v>14.417899999999999</v>
      </c>
      <c r="L42" s="14">
        <v>13.4977</v>
      </c>
      <c r="M42" s="14">
        <v>14.183299999999999</v>
      </c>
      <c r="N42" s="14">
        <v>16.645399999999999</v>
      </c>
      <c r="O42" s="14">
        <v>28.322299999999998</v>
      </c>
      <c r="P42" s="14">
        <v>19.827200000000001</v>
      </c>
      <c r="Q42" s="14">
        <v>9.0633999999999997</v>
      </c>
      <c r="R42" s="14">
        <v>8.1684000000000001</v>
      </c>
      <c r="S42" s="14">
        <v>12.6752</v>
      </c>
      <c r="T42" s="14">
        <v>11.876200000000001</v>
      </c>
      <c r="U42" s="14">
        <v>24.142299999999999</v>
      </c>
      <c r="V42" s="14">
        <v>21.808499999999999</v>
      </c>
      <c r="W42" s="14">
        <v>26.2774</v>
      </c>
    </row>
    <row r="43" spans="1:23" x14ac:dyDescent="0.2">
      <c r="A43" s="10" t="s">
        <v>1006</v>
      </c>
      <c r="B43" s="10" t="s">
        <v>1052</v>
      </c>
      <c r="C43" s="14" t="s">
        <v>658</v>
      </c>
      <c r="D43" s="14" t="s">
        <v>658</v>
      </c>
      <c r="E43" s="14" t="s">
        <v>658</v>
      </c>
      <c r="F43" s="14" t="s">
        <v>658</v>
      </c>
      <c r="G43" s="14" t="s">
        <v>658</v>
      </c>
      <c r="H43" s="14" t="s">
        <v>658</v>
      </c>
      <c r="I43" s="14">
        <v>-7.4267000000000003</v>
      </c>
      <c r="J43" s="14">
        <v>6.4936999999999996</v>
      </c>
      <c r="K43" s="14">
        <v>14.417899999999999</v>
      </c>
      <c r="L43" s="14">
        <v>13.4977</v>
      </c>
      <c r="M43" s="14">
        <v>14.183299999999999</v>
      </c>
      <c r="N43" s="14">
        <v>13.999599999999999</v>
      </c>
      <c r="O43" s="14">
        <v>28.322299999999998</v>
      </c>
      <c r="P43" s="14">
        <v>19.827200000000001</v>
      </c>
      <c r="Q43" s="14">
        <v>9.0633999999999997</v>
      </c>
      <c r="R43" s="14">
        <v>8.1684000000000001</v>
      </c>
      <c r="S43" s="14">
        <v>15.2902</v>
      </c>
      <c r="T43" s="14">
        <v>11.876200000000001</v>
      </c>
      <c r="U43" s="14">
        <v>24.142299999999999</v>
      </c>
      <c r="V43" s="14">
        <v>21.808499999999999</v>
      </c>
      <c r="W43" s="14">
        <v>26.2774</v>
      </c>
    </row>
    <row r="44" spans="1:23" x14ac:dyDescent="0.2">
      <c r="A44" s="10" t="s">
        <v>1008</v>
      </c>
      <c r="B44" s="10" t="s">
        <v>1053</v>
      </c>
      <c r="C44" s="14" t="s">
        <v>658</v>
      </c>
      <c r="D44" s="14" t="s">
        <v>658</v>
      </c>
      <c r="E44" s="14" t="s">
        <v>658</v>
      </c>
      <c r="F44" s="14" t="s">
        <v>658</v>
      </c>
      <c r="G44" s="14" t="s">
        <v>658</v>
      </c>
      <c r="H44" s="14" t="s">
        <v>658</v>
      </c>
      <c r="I44" s="14">
        <v>-7.4267000000000003</v>
      </c>
      <c r="J44" s="14">
        <v>6.4936999999999996</v>
      </c>
      <c r="K44" s="14">
        <v>14.417899999999999</v>
      </c>
      <c r="L44" s="14">
        <v>13.4977</v>
      </c>
      <c r="M44" s="14">
        <v>14.183299999999999</v>
      </c>
      <c r="N44" s="14">
        <v>13.706</v>
      </c>
      <c r="O44" s="14">
        <v>22.767900000000001</v>
      </c>
      <c r="P44" s="14">
        <v>18.8401</v>
      </c>
      <c r="Q44" s="14">
        <v>8.8938000000000006</v>
      </c>
      <c r="R44" s="14">
        <v>11.1069</v>
      </c>
      <c r="S44" s="14">
        <v>13.2905</v>
      </c>
      <c r="T44" s="14">
        <v>15.4564</v>
      </c>
      <c r="U44" s="14">
        <v>24.186399999999999</v>
      </c>
      <c r="V44" s="14">
        <v>19.766200000000001</v>
      </c>
      <c r="W44" s="14">
        <v>21.711300000000001</v>
      </c>
    </row>
    <row r="45" spans="1:23" x14ac:dyDescent="0.2">
      <c r="A45" s="10" t="s">
        <v>1010</v>
      </c>
      <c r="B45" s="10" t="s">
        <v>1054</v>
      </c>
      <c r="C45" s="14" t="s">
        <v>658</v>
      </c>
      <c r="D45" s="14" t="s">
        <v>658</v>
      </c>
      <c r="E45" s="14" t="s">
        <v>658</v>
      </c>
      <c r="F45" s="14" t="s">
        <v>658</v>
      </c>
      <c r="G45" s="14">
        <v>4.5640000000000001</v>
      </c>
      <c r="H45" s="14">
        <v>0</v>
      </c>
      <c r="I45" s="14">
        <v>-9.7119999999999997</v>
      </c>
      <c r="J45" s="14">
        <v>-12.944900000000001</v>
      </c>
      <c r="K45" s="14">
        <v>5.9223999999999997</v>
      </c>
      <c r="L45" s="14">
        <v>0</v>
      </c>
      <c r="M45" s="14">
        <v>-4.3647999999999998</v>
      </c>
      <c r="N45" s="14">
        <v>5.9223999999999997</v>
      </c>
      <c r="O45" s="14">
        <v>0</v>
      </c>
      <c r="P45" s="14">
        <v>0</v>
      </c>
      <c r="Q45" s="14">
        <v>0</v>
      </c>
      <c r="R45" s="14">
        <v>-100</v>
      </c>
      <c r="S45" s="14">
        <v>-100</v>
      </c>
      <c r="T45" s="14">
        <v>-100</v>
      </c>
      <c r="U45" s="14">
        <v>-100</v>
      </c>
      <c r="V45" s="14">
        <v>-100</v>
      </c>
      <c r="W45" s="14" t="s">
        <v>658</v>
      </c>
    </row>
    <row r="46" spans="1:23" x14ac:dyDescent="0.2">
      <c r="A46" s="10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 spans="1:23" x14ac:dyDescent="0.2">
      <c r="A47" s="10" t="s">
        <v>1012</v>
      </c>
      <c r="B47" s="10" t="s">
        <v>1055</v>
      </c>
      <c r="C47" s="14" t="s">
        <v>658</v>
      </c>
      <c r="D47" s="14" t="s">
        <v>658</v>
      </c>
      <c r="E47" s="14" t="s">
        <v>658</v>
      </c>
      <c r="F47" s="14" t="s">
        <v>658</v>
      </c>
      <c r="G47" s="14">
        <v>20.397200000000002</v>
      </c>
      <c r="H47" s="14">
        <v>2.3012999999999999</v>
      </c>
      <c r="I47" s="14">
        <v>3.7092999999999998</v>
      </c>
      <c r="J47" s="14">
        <v>14.071899999999999</v>
      </c>
      <c r="K47" s="14">
        <v>16.854399999999998</v>
      </c>
      <c r="L47" s="14">
        <v>19.035799999999998</v>
      </c>
      <c r="M47" s="14">
        <v>27.000900000000001</v>
      </c>
      <c r="N47" s="14">
        <v>26.5487</v>
      </c>
      <c r="O47" s="14">
        <v>16.5398</v>
      </c>
      <c r="P47" s="14">
        <v>13.770200000000001</v>
      </c>
      <c r="Q47" s="14">
        <v>10.130699999999999</v>
      </c>
      <c r="R47" s="14">
        <v>10.5823</v>
      </c>
      <c r="S47" s="14">
        <v>-0.15740000000000001</v>
      </c>
      <c r="T47" s="14">
        <v>5.0103999999999997</v>
      </c>
      <c r="U47" s="14">
        <v>5.6014999999999997</v>
      </c>
      <c r="V47" s="14">
        <v>3.0720999999999998</v>
      </c>
      <c r="W47" s="14">
        <v>2.0684999999999998</v>
      </c>
    </row>
    <row r="48" spans="1:23" x14ac:dyDescent="0.2">
      <c r="A48" s="10" t="s">
        <v>1016</v>
      </c>
      <c r="B48" s="10" t="s">
        <v>1056</v>
      </c>
      <c r="C48" s="14" t="s">
        <v>658</v>
      </c>
      <c r="D48" s="14" t="s">
        <v>658</v>
      </c>
      <c r="E48" s="14" t="s">
        <v>658</v>
      </c>
      <c r="F48" s="14" t="s">
        <v>658</v>
      </c>
      <c r="G48" s="14">
        <v>28.579599999999999</v>
      </c>
      <c r="H48" s="14">
        <v>27.023399999999999</v>
      </c>
      <c r="I48" s="14">
        <v>33.4191</v>
      </c>
      <c r="J48" s="14">
        <v>41.417999999999999</v>
      </c>
      <c r="K48" s="14">
        <v>26.5229</v>
      </c>
      <c r="L48" s="14">
        <v>9.3659999999999997</v>
      </c>
      <c r="M48" s="14">
        <v>6.4581999999999997</v>
      </c>
      <c r="N48" s="14">
        <v>5.3890000000000002</v>
      </c>
      <c r="O48" s="14">
        <v>-0.22550000000000001</v>
      </c>
      <c r="P48" s="14">
        <v>-2.2991000000000001</v>
      </c>
      <c r="Q48" s="14">
        <v>-2.0175000000000001</v>
      </c>
      <c r="R48" s="14">
        <v>1.9986999999999999</v>
      </c>
      <c r="S48" s="14">
        <v>2.5089000000000001</v>
      </c>
      <c r="T48" s="14">
        <v>2.2362000000000002</v>
      </c>
      <c r="U48" s="14">
        <v>2.9106000000000001</v>
      </c>
      <c r="V48" s="14">
        <v>-0.41670000000000001</v>
      </c>
      <c r="W48" s="14">
        <v>1.6575</v>
      </c>
    </row>
    <row r="49" spans="1:23" x14ac:dyDescent="0.2">
      <c r="A49" s="10" t="s">
        <v>317</v>
      </c>
      <c r="B49" s="10" t="s">
        <v>1057</v>
      </c>
      <c r="C49" s="14" t="s">
        <v>658</v>
      </c>
      <c r="D49" s="14" t="s">
        <v>658</v>
      </c>
      <c r="E49" s="14" t="s">
        <v>658</v>
      </c>
      <c r="F49" s="14" t="s">
        <v>658</v>
      </c>
      <c r="G49" s="14">
        <v>27.1067</v>
      </c>
      <c r="H49" s="14">
        <v>8.7936999999999994</v>
      </c>
      <c r="I49" s="14">
        <v>8.5816999999999997</v>
      </c>
      <c r="J49" s="14">
        <v>14.0139</v>
      </c>
      <c r="K49" s="14">
        <v>15.7271</v>
      </c>
      <c r="L49" s="14">
        <v>15.716799999999999</v>
      </c>
      <c r="M49" s="14">
        <v>18.818300000000001</v>
      </c>
      <c r="N49" s="14">
        <v>19.5015</v>
      </c>
      <c r="O49" s="14">
        <v>12.734999999999999</v>
      </c>
      <c r="P49" s="14">
        <v>11.751899999999999</v>
      </c>
      <c r="Q49" s="14">
        <v>5.9097999999999997</v>
      </c>
      <c r="R49" s="14">
        <v>8.3564000000000007</v>
      </c>
      <c r="S49" s="14">
        <v>4.2436999999999996</v>
      </c>
      <c r="T49" s="14">
        <v>9.1984999999999992</v>
      </c>
      <c r="U49" s="14">
        <v>10.939</v>
      </c>
      <c r="V49" s="14">
        <v>11.029500000000001</v>
      </c>
      <c r="W49" s="14">
        <v>15.280099999999999</v>
      </c>
    </row>
    <row r="50" spans="1:23" x14ac:dyDescent="0.2">
      <c r="A50" s="10" t="s">
        <v>1019</v>
      </c>
      <c r="B50" s="10" t="s">
        <v>1058</v>
      </c>
      <c r="C50" s="14" t="s">
        <v>658</v>
      </c>
      <c r="D50" s="14" t="s">
        <v>658</v>
      </c>
      <c r="E50" s="14" t="s">
        <v>658</v>
      </c>
      <c r="F50" s="14" t="s">
        <v>658</v>
      </c>
      <c r="G50" s="14">
        <v>20.067699999999999</v>
      </c>
      <c r="H50" s="14">
        <v>1.1364000000000001</v>
      </c>
      <c r="I50" s="14">
        <v>4.335</v>
      </c>
      <c r="J50" s="14">
        <v>6.9935</v>
      </c>
      <c r="K50" s="14">
        <v>5.7226999999999997</v>
      </c>
      <c r="L50" s="14">
        <v>8.9948999999999995</v>
      </c>
      <c r="M50" s="14">
        <v>20.652000000000001</v>
      </c>
      <c r="N50" s="14">
        <v>20.773199999999999</v>
      </c>
      <c r="O50" s="14">
        <v>16.219000000000001</v>
      </c>
      <c r="P50" s="14">
        <v>17.658100000000001</v>
      </c>
      <c r="Q50" s="14">
        <v>14.970800000000001</v>
      </c>
      <c r="R50" s="14">
        <v>10.3376</v>
      </c>
      <c r="S50" s="14">
        <v>-6.5503</v>
      </c>
      <c r="T50" s="14">
        <v>2.2494999999999998</v>
      </c>
      <c r="U50" s="14">
        <v>2.8656000000000001</v>
      </c>
      <c r="V50" s="14">
        <v>1.5596000000000001</v>
      </c>
      <c r="W50" s="14">
        <v>-2.2128000000000001</v>
      </c>
    </row>
    <row r="51" spans="1:23" x14ac:dyDescent="0.2">
      <c r="A51" s="10" t="s">
        <v>1021</v>
      </c>
      <c r="B51" s="10" t="s">
        <v>1059</v>
      </c>
      <c r="C51" s="14" t="s">
        <v>658</v>
      </c>
      <c r="D51" s="14" t="s">
        <v>658</v>
      </c>
      <c r="E51" s="14" t="s">
        <v>658</v>
      </c>
      <c r="F51" s="14" t="s">
        <v>658</v>
      </c>
      <c r="G51" s="14">
        <v>31.512599999999999</v>
      </c>
      <c r="H51" s="14">
        <v>-6.4763999999999999</v>
      </c>
      <c r="I51" s="14">
        <v>21.212700000000002</v>
      </c>
      <c r="J51" s="14">
        <v>3.3357999999999999</v>
      </c>
      <c r="K51" s="14">
        <v>18.817299999999999</v>
      </c>
      <c r="L51" s="14">
        <v>21.9254</v>
      </c>
      <c r="M51" s="14">
        <v>19.942799999999998</v>
      </c>
      <c r="N51" s="14">
        <v>15.2569</v>
      </c>
      <c r="O51" s="14">
        <v>27.730499999999999</v>
      </c>
      <c r="P51" s="14">
        <v>15.7507</v>
      </c>
      <c r="Q51" s="14">
        <v>7.2576999999999998</v>
      </c>
      <c r="R51" s="14">
        <v>8.2956000000000003</v>
      </c>
      <c r="S51" s="14">
        <v>13.720800000000001</v>
      </c>
      <c r="T51" s="14">
        <v>17.733599999999999</v>
      </c>
      <c r="U51" s="14">
        <v>25.524100000000001</v>
      </c>
      <c r="V51" s="14">
        <v>20.003599999999999</v>
      </c>
      <c r="W51" s="14">
        <v>10.9223</v>
      </c>
    </row>
    <row r="52" spans="1:23" x14ac:dyDescent="0.2">
      <c r="A52" s="10" t="s">
        <v>1023</v>
      </c>
      <c r="B52" s="10" t="s">
        <v>1060</v>
      </c>
      <c r="C52" s="14" t="s">
        <v>658</v>
      </c>
      <c r="D52" s="14" t="s">
        <v>658</v>
      </c>
      <c r="E52" s="14" t="s">
        <v>658</v>
      </c>
      <c r="F52" s="14" t="s">
        <v>658</v>
      </c>
      <c r="G52" s="14" t="s">
        <v>658</v>
      </c>
      <c r="H52" s="14" t="s">
        <v>658</v>
      </c>
      <c r="I52" s="14" t="s">
        <v>658</v>
      </c>
      <c r="J52" s="14">
        <v>25.526199999999999</v>
      </c>
      <c r="K52" s="14">
        <v>24.711200000000002</v>
      </c>
      <c r="L52" s="14" t="s">
        <v>658</v>
      </c>
      <c r="M52" s="14" t="s">
        <v>658</v>
      </c>
      <c r="N52" s="14" t="s">
        <v>658</v>
      </c>
      <c r="O52" s="14" t="s">
        <v>658</v>
      </c>
      <c r="P52" s="14" t="s">
        <v>658</v>
      </c>
      <c r="Q52" s="14" t="s">
        <v>658</v>
      </c>
      <c r="R52" s="14" t="s">
        <v>658</v>
      </c>
      <c r="S52" s="14">
        <v>13.8675</v>
      </c>
      <c r="T52" s="14">
        <v>-5.7830000000000004</v>
      </c>
      <c r="U52" s="14">
        <v>-6.8878000000000004</v>
      </c>
      <c r="V52" s="14">
        <v>5.7565999999999997</v>
      </c>
      <c r="W52" s="14">
        <v>-2.1972999999999998</v>
      </c>
    </row>
    <row r="53" spans="1:23" x14ac:dyDescent="0.2">
      <c r="A53" s="10" t="s">
        <v>1025</v>
      </c>
      <c r="B53" s="10" t="s">
        <v>1061</v>
      </c>
      <c r="C53" s="14" t="s">
        <v>658</v>
      </c>
      <c r="D53" s="14" t="s">
        <v>658</v>
      </c>
      <c r="E53" s="14" t="s">
        <v>658</v>
      </c>
      <c r="F53" s="14" t="s">
        <v>658</v>
      </c>
      <c r="G53" s="14">
        <v>14.729799999999999</v>
      </c>
      <c r="H53" s="14">
        <v>9.3925999999999998</v>
      </c>
      <c r="I53" s="14">
        <v>-3.26</v>
      </c>
      <c r="J53" s="14">
        <v>53.0154</v>
      </c>
      <c r="K53" s="14">
        <v>64.271199999999993</v>
      </c>
      <c r="L53" s="14">
        <v>52.911799999999999</v>
      </c>
      <c r="M53" s="14">
        <v>53.777999999999999</v>
      </c>
      <c r="N53" s="14">
        <v>56.398099999999999</v>
      </c>
      <c r="O53" s="14">
        <v>17.2256</v>
      </c>
      <c r="P53" s="14">
        <v>7.9664000000000001</v>
      </c>
      <c r="Q53" s="14">
        <v>2.2694000000000001</v>
      </c>
      <c r="R53" s="14">
        <v>11.0907</v>
      </c>
      <c r="S53" s="14">
        <v>11.012600000000001</v>
      </c>
      <c r="T53" s="14">
        <v>9.9760000000000009</v>
      </c>
      <c r="U53" s="14">
        <v>10.208399999999999</v>
      </c>
      <c r="V53" s="14">
        <v>6.2691999999999997</v>
      </c>
      <c r="W53" s="14">
        <v>9.0597999999999992</v>
      </c>
    </row>
    <row r="54" spans="1:23" x14ac:dyDescent="0.2">
      <c r="A54" s="10" t="s">
        <v>1027</v>
      </c>
      <c r="B54" s="10" t="s">
        <v>1062</v>
      </c>
      <c r="C54" s="14" t="s">
        <v>658</v>
      </c>
      <c r="D54" s="14" t="s">
        <v>658</v>
      </c>
      <c r="E54" s="14" t="s">
        <v>658</v>
      </c>
      <c r="F54" s="14" t="s">
        <v>658</v>
      </c>
      <c r="G54" s="14">
        <v>14.506399999999999</v>
      </c>
      <c r="H54" s="14" t="s">
        <v>658</v>
      </c>
      <c r="I54" s="14" t="s">
        <v>658</v>
      </c>
      <c r="J54" s="14" t="s">
        <v>658</v>
      </c>
      <c r="K54" s="14" t="s">
        <v>658</v>
      </c>
      <c r="L54" s="14">
        <v>33.981900000000003</v>
      </c>
      <c r="M54" s="14">
        <v>68.672899999999998</v>
      </c>
      <c r="N54" s="14">
        <v>40.653599999999997</v>
      </c>
      <c r="O54" s="14">
        <v>-14.988899999999999</v>
      </c>
      <c r="P54" s="14">
        <v>11.024100000000001</v>
      </c>
      <c r="Q54" s="14">
        <v>-1.7839</v>
      </c>
      <c r="R54" s="14">
        <v>14.964600000000001</v>
      </c>
      <c r="S54" s="14">
        <v>-29.634899999999998</v>
      </c>
      <c r="T54" s="14">
        <v>22.017600000000002</v>
      </c>
      <c r="U54" s="14">
        <v>-33.713700000000003</v>
      </c>
      <c r="V54" s="14">
        <v>-22.6724</v>
      </c>
      <c r="W54" s="14">
        <v>-19.182300000000001</v>
      </c>
    </row>
    <row r="55" spans="1:23" x14ac:dyDescent="0.2">
      <c r="A55" s="10" t="s">
        <v>1029</v>
      </c>
      <c r="B55" s="10" t="s">
        <v>1063</v>
      </c>
      <c r="C55" s="14" t="s">
        <v>658</v>
      </c>
      <c r="D55" s="14" t="s">
        <v>658</v>
      </c>
      <c r="E55" s="14" t="s">
        <v>658</v>
      </c>
      <c r="F55" s="14" t="s">
        <v>658</v>
      </c>
      <c r="G55" s="14">
        <v>-0.2646</v>
      </c>
      <c r="H55" s="14" t="s">
        <v>658</v>
      </c>
      <c r="I55" s="14" t="s">
        <v>658</v>
      </c>
      <c r="J55" s="14" t="s">
        <v>658</v>
      </c>
      <c r="K55" s="14" t="s">
        <v>658</v>
      </c>
      <c r="L55" s="14">
        <v>58.604900000000001</v>
      </c>
      <c r="M55" s="14">
        <v>88.100800000000007</v>
      </c>
      <c r="N55" s="14">
        <v>54.988799999999998</v>
      </c>
      <c r="O55" s="14">
        <v>-9.2730999999999995</v>
      </c>
      <c r="P55" s="14">
        <v>11.024100000000001</v>
      </c>
      <c r="Q55" s="14">
        <v>-17.031700000000001</v>
      </c>
      <c r="R55" s="14">
        <v>5.1112000000000002</v>
      </c>
      <c r="S55" s="14">
        <v>-25.9467</v>
      </c>
      <c r="T55" s="14">
        <v>16.831900000000001</v>
      </c>
      <c r="U55" s="14">
        <v>-20.223700000000001</v>
      </c>
      <c r="V55" s="14">
        <v>-13.494899999999999</v>
      </c>
      <c r="W55" s="14">
        <v>9.9267000000000003</v>
      </c>
    </row>
    <row r="56" spans="1:23" x14ac:dyDescent="0.2">
      <c r="A56" s="10" t="s">
        <v>782</v>
      </c>
      <c r="B56" s="10" t="s">
        <v>1064</v>
      </c>
      <c r="C56" s="14" t="s">
        <v>658</v>
      </c>
      <c r="D56" s="14" t="s">
        <v>658</v>
      </c>
      <c r="E56" s="14" t="s">
        <v>658</v>
      </c>
      <c r="F56" s="14" t="s">
        <v>658</v>
      </c>
      <c r="G56" s="14">
        <v>30.3855</v>
      </c>
      <c r="H56" s="14">
        <v>7.5552999999999999</v>
      </c>
      <c r="I56" s="14">
        <v>7.5692000000000004</v>
      </c>
      <c r="J56" s="14">
        <v>8.8934999999999995</v>
      </c>
      <c r="K56" s="14">
        <v>10.9459</v>
      </c>
      <c r="L56" s="14">
        <v>12.6561</v>
      </c>
      <c r="M56" s="14">
        <v>15.706799999999999</v>
      </c>
      <c r="N56" s="14">
        <v>16.617899999999999</v>
      </c>
      <c r="O56" s="14">
        <v>14.8287</v>
      </c>
      <c r="P56" s="14">
        <v>13.0898</v>
      </c>
      <c r="Q56" s="14">
        <v>8.5927000000000007</v>
      </c>
      <c r="R56" s="14">
        <v>7.3834999999999997</v>
      </c>
      <c r="S56" s="14">
        <v>5.6082000000000001</v>
      </c>
      <c r="T56" s="14">
        <v>8.9232999999999993</v>
      </c>
      <c r="U56" s="14">
        <v>12.297800000000001</v>
      </c>
      <c r="V56" s="14">
        <v>12.4368</v>
      </c>
      <c r="W56" s="14">
        <v>13.8893</v>
      </c>
    </row>
    <row r="57" spans="1:23" x14ac:dyDescent="0.2">
      <c r="A57" s="10" t="s">
        <v>1065</v>
      </c>
      <c r="B57" s="10" t="s">
        <v>1066</v>
      </c>
      <c r="C57" s="14" t="s">
        <v>658</v>
      </c>
      <c r="D57" s="14" t="s">
        <v>658</v>
      </c>
      <c r="E57" s="14" t="s">
        <v>658</v>
      </c>
      <c r="F57" s="14" t="s">
        <v>658</v>
      </c>
      <c r="G57" s="14">
        <v>27.930199999999999</v>
      </c>
      <c r="H57" s="14">
        <v>7.9054000000000002</v>
      </c>
      <c r="I57" s="14">
        <v>8.4146000000000001</v>
      </c>
      <c r="J57" s="14">
        <v>12.346399999999999</v>
      </c>
      <c r="K57" s="14">
        <v>13.5663</v>
      </c>
      <c r="L57" s="14">
        <v>16.0564</v>
      </c>
      <c r="M57" s="14">
        <v>19.334099999999999</v>
      </c>
      <c r="N57" s="14">
        <v>19.307700000000001</v>
      </c>
      <c r="O57" s="14">
        <v>12.433999999999999</v>
      </c>
      <c r="P57" s="14">
        <v>12.8695</v>
      </c>
      <c r="Q57" s="14">
        <v>5.7371999999999996</v>
      </c>
      <c r="R57" s="14">
        <v>7.0396999999999998</v>
      </c>
      <c r="S57" s="14">
        <v>2.9908000000000001</v>
      </c>
      <c r="T57" s="14">
        <v>9.3717000000000006</v>
      </c>
      <c r="U57" s="14">
        <v>10.366199999999999</v>
      </c>
      <c r="V57" s="14">
        <v>11.6005</v>
      </c>
      <c r="W57" s="14">
        <v>13.355</v>
      </c>
    </row>
    <row r="58" spans="1:23" x14ac:dyDescent="0.2">
      <c r="A58" s="10" t="s">
        <v>1034</v>
      </c>
      <c r="B58" s="10" t="s">
        <v>1067</v>
      </c>
      <c r="C58" s="14" t="s">
        <v>658</v>
      </c>
      <c r="D58" s="14" t="s">
        <v>658</v>
      </c>
      <c r="E58" s="14" t="s">
        <v>658</v>
      </c>
      <c r="F58" s="14" t="s">
        <v>658</v>
      </c>
      <c r="G58" s="14">
        <v>13.4039</v>
      </c>
      <c r="H58" s="14">
        <v>-0.2039</v>
      </c>
      <c r="I58" s="14">
        <v>-0.31209999999999999</v>
      </c>
      <c r="J58" s="14">
        <v>0.58330000000000004</v>
      </c>
      <c r="K58" s="14">
        <v>1.8826000000000001</v>
      </c>
      <c r="L58" s="14">
        <v>8.1674000000000007</v>
      </c>
      <c r="M58" s="14">
        <v>9.8384999999999998</v>
      </c>
      <c r="N58" s="14">
        <v>10.893800000000001</v>
      </c>
      <c r="O58" s="14">
        <v>14.3504</v>
      </c>
      <c r="P58" s="14">
        <v>12.9008</v>
      </c>
      <c r="Q58" s="14">
        <v>13.7392</v>
      </c>
      <c r="R58" s="14">
        <v>12.4411</v>
      </c>
      <c r="S58" s="14">
        <v>11.257899999999999</v>
      </c>
      <c r="T58" s="14">
        <v>10.0609</v>
      </c>
      <c r="U58" s="14">
        <v>13.9115</v>
      </c>
      <c r="V58" s="14">
        <v>13.9198</v>
      </c>
      <c r="W58" s="14">
        <v>14.688000000000001</v>
      </c>
    </row>
    <row r="59" spans="1:23" x14ac:dyDescent="0.2">
      <c r="A59" s="10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 spans="1:23" x14ac:dyDescent="0.2">
      <c r="A60" s="10" t="s">
        <v>1036</v>
      </c>
      <c r="B60" s="10" t="s">
        <v>1068</v>
      </c>
      <c r="C60" s="14" t="s">
        <v>658</v>
      </c>
      <c r="D60" s="14" t="s">
        <v>658</v>
      </c>
      <c r="E60" s="14" t="s">
        <v>658</v>
      </c>
      <c r="F60" s="14" t="s">
        <v>658</v>
      </c>
      <c r="G60" s="14">
        <v>-11.620699999999999</v>
      </c>
      <c r="H60" s="14">
        <v>34.847299999999997</v>
      </c>
      <c r="I60" s="14">
        <v>-7.7487000000000004</v>
      </c>
      <c r="J60" s="14">
        <v>3.4077000000000002</v>
      </c>
      <c r="K60" s="14" t="s">
        <v>658</v>
      </c>
      <c r="L60" s="14">
        <v>-10.2766</v>
      </c>
      <c r="M60" s="14">
        <v>12.599600000000001</v>
      </c>
      <c r="N60" s="14">
        <v>39.557699999999997</v>
      </c>
      <c r="O60" s="14">
        <v>17.629200000000001</v>
      </c>
      <c r="P60" s="14">
        <v>-1.9583999999999999</v>
      </c>
      <c r="Q60" s="14">
        <v>65.093699999999998</v>
      </c>
      <c r="R60" s="14">
        <v>8.8993000000000002</v>
      </c>
      <c r="S60" s="14">
        <v>8.7924000000000007</v>
      </c>
      <c r="T60" s="14">
        <v>18.0441</v>
      </c>
      <c r="U60" s="14">
        <v>23.2881</v>
      </c>
      <c r="V60" s="14">
        <v>18.227799999999998</v>
      </c>
      <c r="W60" s="14">
        <v>23.4529</v>
      </c>
    </row>
    <row r="61" spans="1:23" x14ac:dyDescent="0.2">
      <c r="A61" s="10" t="s">
        <v>1040</v>
      </c>
      <c r="B61" s="10" t="s">
        <v>1069</v>
      </c>
      <c r="C61" s="14" t="s">
        <v>658</v>
      </c>
      <c r="D61" s="14" t="s">
        <v>658</v>
      </c>
      <c r="E61" s="14" t="s">
        <v>658</v>
      </c>
      <c r="F61" s="14" t="s">
        <v>658</v>
      </c>
      <c r="G61" s="14">
        <v>-41.059399999999997</v>
      </c>
      <c r="H61" s="14">
        <v>52.0169</v>
      </c>
      <c r="I61" s="14" t="s">
        <v>658</v>
      </c>
      <c r="J61" s="14" t="s">
        <v>658</v>
      </c>
      <c r="K61" s="14" t="s">
        <v>658</v>
      </c>
      <c r="L61" s="14" t="s">
        <v>658</v>
      </c>
      <c r="M61" s="14" t="s">
        <v>658</v>
      </c>
      <c r="N61" s="14" t="s">
        <v>658</v>
      </c>
      <c r="O61" s="14" t="s">
        <v>658</v>
      </c>
      <c r="P61" s="14" t="s">
        <v>658</v>
      </c>
      <c r="Q61" s="14" t="s">
        <v>658</v>
      </c>
      <c r="R61" s="14">
        <v>11.368399999999999</v>
      </c>
      <c r="S61" s="14">
        <v>16.905999999999999</v>
      </c>
      <c r="T61" s="14">
        <v>25.691700000000001</v>
      </c>
      <c r="U61" s="14" t="s">
        <v>658</v>
      </c>
      <c r="V61" s="14">
        <v>25.135100000000001</v>
      </c>
      <c r="W61" s="14">
        <v>26.6767</v>
      </c>
    </row>
    <row r="62" spans="1:23" x14ac:dyDescent="0.2">
      <c r="A62" s="10" t="s">
        <v>1042</v>
      </c>
      <c r="B62" s="10" t="s">
        <v>1070</v>
      </c>
      <c r="C62" s="14" t="s">
        <v>658</v>
      </c>
      <c r="D62" s="14" t="s">
        <v>658</v>
      </c>
      <c r="E62" s="14" t="s">
        <v>658</v>
      </c>
      <c r="F62" s="14" t="s">
        <v>658</v>
      </c>
      <c r="G62" s="14" t="s">
        <v>658</v>
      </c>
      <c r="H62" s="14" t="s">
        <v>658</v>
      </c>
      <c r="I62" s="14" t="s">
        <v>658</v>
      </c>
      <c r="J62" s="14" t="s">
        <v>658</v>
      </c>
      <c r="K62" s="14" t="s">
        <v>658</v>
      </c>
      <c r="L62" s="14">
        <v>-4.6139999999999999</v>
      </c>
      <c r="M62" s="14">
        <v>14.48</v>
      </c>
      <c r="N62" s="14">
        <v>40.940600000000003</v>
      </c>
      <c r="O62" s="14">
        <v>18.130700000000001</v>
      </c>
      <c r="P62" s="14">
        <v>-1.5689</v>
      </c>
      <c r="Q62" s="14">
        <v>54.988700000000001</v>
      </c>
      <c r="R62" s="14">
        <v>7.7733999999999996</v>
      </c>
      <c r="S62" s="14">
        <v>7.8482000000000003</v>
      </c>
      <c r="T62" s="14">
        <v>17.052700000000002</v>
      </c>
      <c r="U62" s="14">
        <v>22.014199999999999</v>
      </c>
      <c r="V62" s="14">
        <v>17.4559</v>
      </c>
      <c r="W62" s="14">
        <v>23.3398</v>
      </c>
    </row>
    <row r="63" spans="1:23" x14ac:dyDescent="0.2">
      <c r="A63" s="10" t="s">
        <v>1044</v>
      </c>
      <c r="B63" s="10" t="s">
        <v>1071</v>
      </c>
      <c r="C63" s="14" t="s">
        <v>658</v>
      </c>
      <c r="D63" s="14" t="s">
        <v>658</v>
      </c>
      <c r="E63" s="14" t="s">
        <v>658</v>
      </c>
      <c r="F63" s="14" t="s">
        <v>658</v>
      </c>
      <c r="G63" s="14" t="s">
        <v>658</v>
      </c>
      <c r="H63" s="14" t="s">
        <v>658</v>
      </c>
      <c r="I63" s="14" t="s">
        <v>658</v>
      </c>
      <c r="J63" s="14" t="s">
        <v>658</v>
      </c>
      <c r="K63" s="14" t="s">
        <v>658</v>
      </c>
      <c r="L63" s="14" t="s">
        <v>658</v>
      </c>
      <c r="M63" s="14" t="s">
        <v>658</v>
      </c>
      <c r="N63" s="14" t="s">
        <v>658</v>
      </c>
      <c r="O63" s="14" t="s">
        <v>658</v>
      </c>
      <c r="P63" s="14">
        <v>-47.154000000000003</v>
      </c>
      <c r="Q63" s="14" t="s">
        <v>658</v>
      </c>
      <c r="R63" s="14">
        <v>9.5681999999999992</v>
      </c>
      <c r="S63" s="14">
        <v>14.944699999999999</v>
      </c>
      <c r="T63" s="14">
        <v>23.929099999999998</v>
      </c>
      <c r="U63" s="14">
        <v>128.58529999999999</v>
      </c>
      <c r="V63" s="14">
        <v>23.901199999999999</v>
      </c>
      <c r="W63" s="14">
        <v>26.3874</v>
      </c>
    </row>
    <row r="64" spans="1:23" x14ac:dyDescent="0.2">
      <c r="A64" s="10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 spans="1:23" x14ac:dyDescent="0.2">
      <c r="A65" s="6" t="s">
        <v>1072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</row>
    <row r="66" spans="1:23" x14ac:dyDescent="0.2">
      <c r="A66" s="10" t="s">
        <v>0</v>
      </c>
      <c r="B66" s="10" t="s">
        <v>1073</v>
      </c>
      <c r="C66" s="14">
        <v>45.304400000000001</v>
      </c>
      <c r="D66" s="14">
        <v>-7.0547000000000004</v>
      </c>
      <c r="E66" s="14">
        <v>6.7683999999999997</v>
      </c>
      <c r="F66" s="14">
        <v>-2.8831000000000002</v>
      </c>
      <c r="G66" s="14">
        <v>107.87649999999999</v>
      </c>
      <c r="H66" s="14">
        <v>-15.79</v>
      </c>
      <c r="I66" s="14">
        <v>8.9293999999999993</v>
      </c>
      <c r="J66" s="14">
        <v>60.499400000000001</v>
      </c>
      <c r="K66" s="14">
        <v>24.465800000000002</v>
      </c>
      <c r="L66" s="14">
        <v>33.418399999999998</v>
      </c>
      <c r="M66" s="14">
        <v>12.835599999999999</v>
      </c>
      <c r="N66" s="14">
        <v>-1.4272</v>
      </c>
      <c r="O66" s="14">
        <v>6.242</v>
      </c>
      <c r="P66" s="14">
        <v>4.9756</v>
      </c>
      <c r="Q66" s="14">
        <v>24.522500000000001</v>
      </c>
      <c r="R66" s="14">
        <v>6.1609999999999996</v>
      </c>
      <c r="S66" s="14">
        <v>-4.5101000000000004</v>
      </c>
      <c r="T66" s="14">
        <v>4.5248999999999997</v>
      </c>
      <c r="U66" s="14">
        <v>21.493200000000002</v>
      </c>
      <c r="V66" s="14">
        <v>6.2157999999999998</v>
      </c>
      <c r="W66" s="14">
        <v>11.192399999999999</v>
      </c>
    </row>
    <row r="67" spans="1:23" x14ac:dyDescent="0.2">
      <c r="A67" s="10" t="s">
        <v>205</v>
      </c>
      <c r="B67" s="10" t="s">
        <v>1074</v>
      </c>
      <c r="C67" s="14">
        <v>-18.2331</v>
      </c>
      <c r="D67" s="14">
        <v>-14.4093</v>
      </c>
      <c r="E67" s="14">
        <v>-31.008299999999998</v>
      </c>
      <c r="F67" s="14">
        <v>-29.2119</v>
      </c>
      <c r="G67" s="14">
        <v>225.98259999999999</v>
      </c>
      <c r="H67" s="14">
        <v>-61.861499999999999</v>
      </c>
      <c r="I67" s="14">
        <v>23.9846</v>
      </c>
      <c r="J67" s="14">
        <v>164.28469999999999</v>
      </c>
      <c r="K67" s="14">
        <v>26.5304</v>
      </c>
      <c r="L67" s="14">
        <v>76.683400000000006</v>
      </c>
      <c r="M67" s="14">
        <v>-5.1047000000000002</v>
      </c>
      <c r="N67" s="14">
        <v>-12.2415</v>
      </c>
      <c r="O67" s="14">
        <v>6.7431000000000001</v>
      </c>
      <c r="P67" s="14">
        <v>1.4682999999999999</v>
      </c>
      <c r="Q67" s="14">
        <v>63.166400000000003</v>
      </c>
      <c r="R67" s="14">
        <v>-15.5999</v>
      </c>
      <c r="S67" s="14">
        <v>15.337199999999999</v>
      </c>
      <c r="T67" s="14">
        <v>48.334899999999998</v>
      </c>
      <c r="U67" s="14">
        <v>25.5032</v>
      </c>
      <c r="V67" s="14">
        <v>0.58540000000000003</v>
      </c>
      <c r="W67" s="14">
        <v>-6.0332999999999997</v>
      </c>
    </row>
    <row r="68" spans="1:23" x14ac:dyDescent="0.2">
      <c r="A68" s="10" t="s">
        <v>1000</v>
      </c>
      <c r="B68" s="10" t="s">
        <v>1075</v>
      </c>
      <c r="C68" s="14">
        <v>-22.071200000000001</v>
      </c>
      <c r="D68" s="14">
        <v>-20.712</v>
      </c>
      <c r="E68" s="14">
        <v>-46.067900000000002</v>
      </c>
      <c r="F68" s="14">
        <v>-49.221800000000002</v>
      </c>
      <c r="G68" s="14">
        <v>437.86799999999999</v>
      </c>
      <c r="H68" s="14">
        <v>-81.56</v>
      </c>
      <c r="I68" s="14">
        <v>45.546799999999998</v>
      </c>
      <c r="J68" s="14">
        <v>353.84719999999999</v>
      </c>
      <c r="K68" s="14">
        <v>35.3292</v>
      </c>
      <c r="L68" s="14">
        <v>89.834999999999994</v>
      </c>
      <c r="M68" s="14">
        <v>-12.772399999999999</v>
      </c>
      <c r="N68" s="14">
        <v>-25.272200000000002</v>
      </c>
      <c r="O68" s="14">
        <v>9.6252999999999993</v>
      </c>
      <c r="P68" s="14">
        <v>15.3139</v>
      </c>
      <c r="Q68" s="14">
        <v>74.733000000000004</v>
      </c>
      <c r="R68" s="14">
        <v>-19.697299999999998</v>
      </c>
      <c r="S68" s="14">
        <v>18.694600000000001</v>
      </c>
      <c r="T68" s="14">
        <v>55.671900000000001</v>
      </c>
      <c r="U68" s="14">
        <v>29.7806</v>
      </c>
      <c r="V68" s="14">
        <v>5.2999999999999999E-2</v>
      </c>
      <c r="W68" s="14">
        <v>-12.7576</v>
      </c>
    </row>
    <row r="69" spans="1:23" x14ac:dyDescent="0.2">
      <c r="A69" s="10" t="s">
        <v>1002</v>
      </c>
      <c r="B69" s="10" t="s">
        <v>1076</v>
      </c>
      <c r="C69" s="14">
        <v>-14.9491</v>
      </c>
      <c r="D69" s="14">
        <v>-13.926600000000001</v>
      </c>
      <c r="E69" s="14">
        <v>-36.742400000000004</v>
      </c>
      <c r="F69" s="14">
        <v>-29.6767</v>
      </c>
      <c r="G69" s="14">
        <v>176.94489999999999</v>
      </c>
      <c r="H69" s="14">
        <v>-12.841900000000001</v>
      </c>
      <c r="I69" s="14">
        <v>-6.2798999999999996</v>
      </c>
      <c r="J69" s="14">
        <v>28.455100000000002</v>
      </c>
      <c r="K69" s="14">
        <v>0.37380000000000002</v>
      </c>
      <c r="L69" s="14">
        <v>81.587500000000006</v>
      </c>
      <c r="M69" s="14">
        <v>-11.2658</v>
      </c>
      <c r="N69" s="14">
        <v>3.7523</v>
      </c>
      <c r="O69" s="14">
        <v>101.04170000000001</v>
      </c>
      <c r="P69" s="14">
        <v>-28.8979</v>
      </c>
      <c r="Q69" s="14">
        <v>16.262799999999999</v>
      </c>
      <c r="R69" s="14">
        <v>-14.445600000000001</v>
      </c>
      <c r="S69" s="14">
        <v>25.1035</v>
      </c>
      <c r="T69" s="14">
        <v>97.479500000000002</v>
      </c>
      <c r="U69" s="14">
        <v>19.981999999999999</v>
      </c>
      <c r="V69" s="14">
        <v>4.8902000000000001</v>
      </c>
      <c r="W69" s="14">
        <v>3.4462000000000002</v>
      </c>
    </row>
    <row r="70" spans="1:23" x14ac:dyDescent="0.2">
      <c r="A70" s="10" t="s">
        <v>1004</v>
      </c>
      <c r="B70" s="10" t="s">
        <v>1077</v>
      </c>
      <c r="C70" s="14">
        <v>-33.836100000000002</v>
      </c>
      <c r="D70" s="14">
        <v>-15.055199999999999</v>
      </c>
      <c r="E70" s="14">
        <v>-36.982300000000002</v>
      </c>
      <c r="F70" s="14">
        <v>-29.8337</v>
      </c>
      <c r="G70" s="14">
        <v>92.148799999999994</v>
      </c>
      <c r="H70" s="14">
        <v>-12.7651</v>
      </c>
      <c r="I70" s="14">
        <v>-8.2705000000000002</v>
      </c>
      <c r="J70" s="14">
        <v>26.956499999999998</v>
      </c>
      <c r="K70" s="14">
        <v>0.45660000000000001</v>
      </c>
      <c r="L70" s="14">
        <v>84.545500000000004</v>
      </c>
      <c r="M70" s="14">
        <v>-10.0985</v>
      </c>
      <c r="N70" s="14">
        <v>2.0548000000000002</v>
      </c>
      <c r="O70" s="14">
        <v>104.5638</v>
      </c>
      <c r="P70" s="14">
        <v>-28.674499999999998</v>
      </c>
      <c r="Q70" s="14">
        <v>15.2714</v>
      </c>
      <c r="R70" s="14">
        <v>-13.7271</v>
      </c>
      <c r="S70" s="14">
        <v>25.161899999999999</v>
      </c>
      <c r="T70" s="14">
        <v>97.413200000000003</v>
      </c>
      <c r="U70" s="14">
        <v>19.9925</v>
      </c>
      <c r="V70" s="14">
        <v>4.8361999999999998</v>
      </c>
      <c r="W70" s="14">
        <v>3.3035999999999999</v>
      </c>
    </row>
    <row r="71" spans="1:23" x14ac:dyDescent="0.2">
      <c r="A71" s="10" t="s">
        <v>1006</v>
      </c>
      <c r="B71" s="10" t="s">
        <v>1078</v>
      </c>
      <c r="C71" s="14" t="s">
        <v>658</v>
      </c>
      <c r="D71" s="14" t="s">
        <v>658</v>
      </c>
      <c r="E71" s="14">
        <v>-36.982300000000002</v>
      </c>
      <c r="F71" s="14">
        <v>-29.8337</v>
      </c>
      <c r="G71" s="14">
        <v>92.148799999999994</v>
      </c>
      <c r="H71" s="14">
        <v>-12.7651</v>
      </c>
      <c r="I71" s="14">
        <v>-8.2705000000000002</v>
      </c>
      <c r="J71" s="14">
        <v>26.956499999999998</v>
      </c>
      <c r="K71" s="14">
        <v>0.45660000000000001</v>
      </c>
      <c r="L71" s="14">
        <v>84.545500000000004</v>
      </c>
      <c r="M71" s="14">
        <v>-10.0985</v>
      </c>
      <c r="N71" s="14">
        <v>-9.0061999999999998</v>
      </c>
      <c r="O71" s="14">
        <v>129.4299</v>
      </c>
      <c r="P71" s="14">
        <v>-28.674499999999998</v>
      </c>
      <c r="Q71" s="14">
        <v>15.2714</v>
      </c>
      <c r="R71" s="14">
        <v>-13.7271</v>
      </c>
      <c r="S71" s="14">
        <v>25.161899999999999</v>
      </c>
      <c r="T71" s="14">
        <v>97.413200000000003</v>
      </c>
      <c r="U71" s="14">
        <v>19.9925</v>
      </c>
      <c r="V71" s="14">
        <v>4.8361999999999998</v>
      </c>
      <c r="W71" s="14">
        <v>3.3035999999999999</v>
      </c>
    </row>
    <row r="72" spans="1:23" x14ac:dyDescent="0.2">
      <c r="A72" s="10" t="s">
        <v>1008</v>
      </c>
      <c r="B72" s="10" t="s">
        <v>1079</v>
      </c>
      <c r="C72" s="14" t="s">
        <v>658</v>
      </c>
      <c r="D72" s="14" t="s">
        <v>658</v>
      </c>
      <c r="E72" s="14">
        <v>-36.982300000000002</v>
      </c>
      <c r="F72" s="14">
        <v>-29.8337</v>
      </c>
      <c r="G72" s="14">
        <v>92.148799999999994</v>
      </c>
      <c r="H72" s="14">
        <v>-12.7651</v>
      </c>
      <c r="I72" s="14">
        <v>-8.2705000000000002</v>
      </c>
      <c r="J72" s="14">
        <v>26.956499999999998</v>
      </c>
      <c r="K72" s="14">
        <v>0.45660000000000001</v>
      </c>
      <c r="L72" s="14">
        <v>84.545500000000004</v>
      </c>
      <c r="M72" s="14">
        <v>-10.0985</v>
      </c>
      <c r="N72" s="14">
        <v>-10.1717</v>
      </c>
      <c r="O72" s="14">
        <v>86.277900000000002</v>
      </c>
      <c r="P72" s="14">
        <v>-14.6174</v>
      </c>
      <c r="Q72" s="14">
        <v>19.207999999999998</v>
      </c>
      <c r="R72" s="14">
        <v>-0.58420000000000005</v>
      </c>
      <c r="S72" s="14">
        <v>-0.99050000000000005</v>
      </c>
      <c r="T72" s="14">
        <v>104.77800000000001</v>
      </c>
      <c r="U72" s="14">
        <v>22.927600000000002</v>
      </c>
      <c r="V72" s="14">
        <v>-0.54969999999999997</v>
      </c>
      <c r="W72" s="14">
        <v>7.7553999999999998</v>
      </c>
    </row>
    <row r="73" spans="1:23" x14ac:dyDescent="0.2">
      <c r="A73" s="10" t="s">
        <v>1010</v>
      </c>
      <c r="B73" s="10" t="s">
        <v>1080</v>
      </c>
      <c r="C73" s="14">
        <v>25</v>
      </c>
      <c r="D73" s="14">
        <v>0</v>
      </c>
      <c r="E73" s="14">
        <v>20</v>
      </c>
      <c r="F73" s="14">
        <v>-50</v>
      </c>
      <c r="G73" s="14">
        <v>66.666700000000006</v>
      </c>
      <c r="H73" s="14">
        <v>0</v>
      </c>
      <c r="I73" s="14">
        <v>-40</v>
      </c>
      <c r="J73" s="14">
        <v>0</v>
      </c>
      <c r="K73" s="14">
        <v>33.333300000000001</v>
      </c>
      <c r="L73" s="14">
        <v>25</v>
      </c>
      <c r="M73" s="14">
        <v>-20</v>
      </c>
      <c r="N73" s="14">
        <v>0</v>
      </c>
      <c r="O73" s="14">
        <v>-25</v>
      </c>
      <c r="P73" s="14">
        <v>33.333300000000001</v>
      </c>
      <c r="Q73" s="14">
        <v>25</v>
      </c>
      <c r="R73" s="14">
        <v>-100</v>
      </c>
      <c r="S73" s="14" t="s">
        <v>658</v>
      </c>
      <c r="T73" s="14" t="s">
        <v>658</v>
      </c>
      <c r="U73" s="14" t="s">
        <v>658</v>
      </c>
      <c r="V73" s="14" t="s">
        <v>658</v>
      </c>
      <c r="W73" s="14" t="s">
        <v>658</v>
      </c>
    </row>
    <row r="74" spans="1:23" x14ac:dyDescent="0.2">
      <c r="A74" s="10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</row>
    <row r="75" spans="1:23" x14ac:dyDescent="0.2">
      <c r="A75" s="10" t="s">
        <v>1012</v>
      </c>
      <c r="B75" s="10" t="s">
        <v>1081</v>
      </c>
      <c r="C75" s="14">
        <v>77.115399999999994</v>
      </c>
      <c r="D75" s="14">
        <v>6.7232000000000003</v>
      </c>
      <c r="E75" s="14">
        <v>-2.9095</v>
      </c>
      <c r="F75" s="14">
        <v>6.9249999999999998</v>
      </c>
      <c r="G75" s="14">
        <v>28.917300000000001</v>
      </c>
      <c r="H75" s="14">
        <v>-21.552499999999998</v>
      </c>
      <c r="I75" s="14">
        <v>14.2729</v>
      </c>
      <c r="J75" s="14">
        <v>56.308</v>
      </c>
      <c r="K75" s="14">
        <v>20.6174</v>
      </c>
      <c r="L75" s="14">
        <v>41.407800000000002</v>
      </c>
      <c r="M75" s="14">
        <v>8.4489000000000001</v>
      </c>
      <c r="N75" s="14">
        <v>12.253</v>
      </c>
      <c r="O75" s="14">
        <v>3.5295999999999998</v>
      </c>
      <c r="P75" s="14">
        <v>6.9500999999999999</v>
      </c>
      <c r="Q75" s="14">
        <v>20.191099999999999</v>
      </c>
      <c r="R75" s="14">
        <v>10.690799999999999</v>
      </c>
      <c r="S75" s="14">
        <v>-32.648099999999999</v>
      </c>
      <c r="T75" s="14">
        <v>33.244</v>
      </c>
      <c r="U75" s="14">
        <v>9.9940999999999995</v>
      </c>
      <c r="V75" s="14">
        <v>6.4698000000000002</v>
      </c>
      <c r="W75" s="14">
        <v>5.4062000000000001</v>
      </c>
    </row>
    <row r="76" spans="1:23" x14ac:dyDescent="0.2">
      <c r="A76" s="10" t="s">
        <v>1014</v>
      </c>
      <c r="B76" s="10" t="s">
        <v>1082</v>
      </c>
      <c r="C76" s="14">
        <v>-36.900399999999998</v>
      </c>
      <c r="D76" s="14">
        <v>-4.1519000000000004</v>
      </c>
      <c r="E76" s="14">
        <v>6.8776999999999999</v>
      </c>
      <c r="F76" s="14" t="s">
        <v>658</v>
      </c>
      <c r="G76" s="14" t="s">
        <v>658</v>
      </c>
      <c r="H76" s="14" t="s">
        <v>658</v>
      </c>
      <c r="I76" s="14" t="s">
        <v>658</v>
      </c>
      <c r="J76" s="14" t="s">
        <v>658</v>
      </c>
      <c r="K76" s="14" t="s">
        <v>658</v>
      </c>
      <c r="L76" s="14" t="s">
        <v>658</v>
      </c>
      <c r="M76" s="14" t="s">
        <v>658</v>
      </c>
      <c r="N76" s="14" t="s">
        <v>658</v>
      </c>
      <c r="O76" s="14" t="s">
        <v>658</v>
      </c>
      <c r="P76" s="14" t="s">
        <v>658</v>
      </c>
      <c r="Q76" s="14" t="s">
        <v>658</v>
      </c>
      <c r="R76" s="14" t="s">
        <v>658</v>
      </c>
      <c r="S76" s="14" t="s">
        <v>658</v>
      </c>
      <c r="T76" s="14" t="s">
        <v>658</v>
      </c>
      <c r="U76" s="14" t="s">
        <v>658</v>
      </c>
      <c r="V76" s="14" t="s">
        <v>658</v>
      </c>
      <c r="W76" s="14" t="s">
        <v>658</v>
      </c>
    </row>
    <row r="77" spans="1:23" x14ac:dyDescent="0.2">
      <c r="A77" s="10" t="s">
        <v>1016</v>
      </c>
      <c r="B77" s="10" t="s">
        <v>1083</v>
      </c>
      <c r="C77" s="14">
        <v>13.987</v>
      </c>
      <c r="D77" s="14">
        <v>-21.644400000000001</v>
      </c>
      <c r="E77" s="14">
        <v>-1.4927999999999999</v>
      </c>
      <c r="F77" s="14">
        <v>91.431299999999993</v>
      </c>
      <c r="G77" s="14">
        <v>108.6675</v>
      </c>
      <c r="H77" s="14">
        <v>7.2537000000000003</v>
      </c>
      <c r="I77" s="14">
        <v>0.1709</v>
      </c>
      <c r="J77" s="14">
        <v>31.7959</v>
      </c>
      <c r="K77" s="14">
        <v>9.7324000000000002</v>
      </c>
      <c r="L77" s="14">
        <v>0.69830000000000003</v>
      </c>
      <c r="M77" s="14">
        <v>-6.2662000000000004</v>
      </c>
      <c r="N77" s="14">
        <v>-4.7596999999999996</v>
      </c>
      <c r="O77" s="14">
        <v>0.2361</v>
      </c>
      <c r="P77" s="14">
        <v>-1.2063999999999999</v>
      </c>
      <c r="Q77" s="14">
        <v>2.1583000000000001</v>
      </c>
      <c r="R77" s="14">
        <v>14.5848</v>
      </c>
      <c r="S77" s="14">
        <v>-2.3538999999999999</v>
      </c>
      <c r="T77" s="14">
        <v>-1.0902000000000001</v>
      </c>
      <c r="U77" s="14">
        <v>2.0954999999999999</v>
      </c>
      <c r="V77" s="14">
        <v>-13.322900000000001</v>
      </c>
      <c r="W77" s="14">
        <v>27.025600000000001</v>
      </c>
    </row>
    <row r="78" spans="1:23" x14ac:dyDescent="0.2">
      <c r="A78" s="10" t="s">
        <v>317</v>
      </c>
      <c r="B78" s="10" t="s">
        <v>1084</v>
      </c>
      <c r="C78" s="14">
        <v>98.154700000000005</v>
      </c>
      <c r="D78" s="14">
        <v>7.0507999999999997</v>
      </c>
      <c r="E78" s="14">
        <v>1.5868</v>
      </c>
      <c r="F78" s="14">
        <v>3.4517000000000002</v>
      </c>
      <c r="G78" s="14">
        <v>48.824100000000001</v>
      </c>
      <c r="H78" s="14">
        <v>-8.9710000000000001</v>
      </c>
      <c r="I78" s="14">
        <v>6.0119999999999996</v>
      </c>
      <c r="J78" s="14">
        <v>29.671199999999999</v>
      </c>
      <c r="K78" s="14">
        <v>11.4611</v>
      </c>
      <c r="L78" s="14">
        <v>48.757899999999999</v>
      </c>
      <c r="M78" s="14">
        <v>3.9</v>
      </c>
      <c r="N78" s="14">
        <v>9.0950000000000006</v>
      </c>
      <c r="O78" s="14">
        <v>-3.1120999999999999</v>
      </c>
      <c r="P78" s="14">
        <v>6.6853999999999996</v>
      </c>
      <c r="Q78" s="14">
        <v>13.733000000000001</v>
      </c>
      <c r="R78" s="14">
        <v>16.468</v>
      </c>
      <c r="S78" s="14">
        <v>-10.095499999999999</v>
      </c>
      <c r="T78" s="14">
        <v>22.209299999999999</v>
      </c>
      <c r="U78" s="14">
        <v>15.462999999999999</v>
      </c>
      <c r="V78" s="14">
        <v>14.1976</v>
      </c>
      <c r="W78" s="14">
        <v>40.535499999999999</v>
      </c>
    </row>
    <row r="79" spans="1:23" x14ac:dyDescent="0.2">
      <c r="A79" s="10" t="s">
        <v>1019</v>
      </c>
      <c r="B79" s="10" t="s">
        <v>1085</v>
      </c>
      <c r="C79" s="14">
        <v>85.249399999999994</v>
      </c>
      <c r="D79" s="14">
        <v>0.48520000000000002</v>
      </c>
      <c r="E79" s="14">
        <v>4.8682999999999996</v>
      </c>
      <c r="F79" s="14">
        <v>4.1650999999999998</v>
      </c>
      <c r="G79" s="14">
        <v>22.717199999999998</v>
      </c>
      <c r="H79" s="14">
        <v>-21.4466</v>
      </c>
      <c r="I79" s="14">
        <v>17.412199999999999</v>
      </c>
      <c r="J79" s="14">
        <v>18.927099999999999</v>
      </c>
      <c r="K79" s="14">
        <v>-1.8754</v>
      </c>
      <c r="L79" s="14">
        <v>42.9206</v>
      </c>
      <c r="M79" s="14">
        <v>30.558800000000002</v>
      </c>
      <c r="N79" s="14">
        <v>18.0031</v>
      </c>
      <c r="O79" s="14">
        <v>-1.8673</v>
      </c>
      <c r="P79" s="14">
        <v>4.3521999999999998</v>
      </c>
      <c r="Q79" s="14">
        <v>27.327500000000001</v>
      </c>
      <c r="R79" s="14">
        <v>6.2888000000000002</v>
      </c>
      <c r="S79" s="14">
        <v>-48.5762</v>
      </c>
      <c r="T79" s="14">
        <v>53.897300000000001</v>
      </c>
      <c r="U79" s="14">
        <v>7.5343</v>
      </c>
      <c r="V79" s="14">
        <v>19.446899999999999</v>
      </c>
      <c r="W79" s="14">
        <v>-12.0383</v>
      </c>
    </row>
    <row r="80" spans="1:23" x14ac:dyDescent="0.2">
      <c r="A80" s="10" t="s">
        <v>1021</v>
      </c>
      <c r="B80" s="10" t="s">
        <v>1086</v>
      </c>
      <c r="C80" s="14">
        <v>573.60270000000003</v>
      </c>
      <c r="D80" s="14">
        <v>-64.451700000000002</v>
      </c>
      <c r="E80" s="14">
        <v>34.384500000000003</v>
      </c>
      <c r="F80" s="14">
        <v>-26.214300000000001</v>
      </c>
      <c r="G80" s="14">
        <v>65.688900000000004</v>
      </c>
      <c r="H80" s="14">
        <v>22.509899999999998</v>
      </c>
      <c r="I80" s="14">
        <v>30.0032</v>
      </c>
      <c r="J80" s="14">
        <v>-39.484900000000003</v>
      </c>
      <c r="K80" s="14">
        <v>48.2913</v>
      </c>
      <c r="L80" s="14">
        <v>88.523499999999999</v>
      </c>
      <c r="M80" s="14">
        <v>12.8681</v>
      </c>
      <c r="N80" s="14">
        <v>6.5171000000000001</v>
      </c>
      <c r="O80" s="14">
        <v>1.1581999999999999</v>
      </c>
      <c r="P80" s="14">
        <v>-9.3721999999999994</v>
      </c>
      <c r="Q80" s="14">
        <v>28.792000000000002</v>
      </c>
      <c r="R80" s="14">
        <v>18.4361</v>
      </c>
      <c r="S80" s="14">
        <v>36.008000000000003</v>
      </c>
      <c r="T80" s="14">
        <v>20.310300000000002</v>
      </c>
      <c r="U80" s="14">
        <v>24.851900000000001</v>
      </c>
      <c r="V80" s="14">
        <v>2.8549000000000002</v>
      </c>
      <c r="W80" s="14">
        <v>-20.088799999999999</v>
      </c>
    </row>
    <row r="81" spans="1:23" x14ac:dyDescent="0.2">
      <c r="A81" s="10" t="s">
        <v>1023</v>
      </c>
      <c r="B81" s="10" t="s">
        <v>1087</v>
      </c>
      <c r="C81" s="14" t="s">
        <v>658</v>
      </c>
      <c r="D81" s="14" t="s">
        <v>658</v>
      </c>
      <c r="E81" s="14" t="s">
        <v>658</v>
      </c>
      <c r="F81" s="14">
        <v>-2.4390000000000001</v>
      </c>
      <c r="G81" s="14">
        <v>72.083299999999994</v>
      </c>
      <c r="H81" s="14">
        <v>11.2591</v>
      </c>
      <c r="I81" s="14">
        <v>13.529199999999999</v>
      </c>
      <c r="J81" s="14">
        <v>46.9649</v>
      </c>
      <c r="K81" s="14">
        <v>-5.5651999999999999</v>
      </c>
      <c r="L81" s="14" t="s">
        <v>658</v>
      </c>
      <c r="M81" s="14" t="s">
        <v>658</v>
      </c>
      <c r="N81" s="14" t="s">
        <v>658</v>
      </c>
      <c r="O81" s="14">
        <v>174.2749</v>
      </c>
      <c r="P81" s="14">
        <v>11.494300000000001</v>
      </c>
      <c r="Q81" s="14">
        <v>-46.814399999999999</v>
      </c>
      <c r="R81" s="14">
        <v>7.4821</v>
      </c>
      <c r="S81" s="14">
        <v>9.5040999999999993</v>
      </c>
      <c r="T81" s="14">
        <v>6.3734999999999999</v>
      </c>
      <c r="U81" s="14">
        <v>5.1092000000000004</v>
      </c>
      <c r="V81" s="14">
        <v>0.53029999999999999</v>
      </c>
      <c r="W81" s="14">
        <v>-27.296700000000001</v>
      </c>
    </row>
    <row r="82" spans="1:23" x14ac:dyDescent="0.2">
      <c r="A82" s="10" t="s">
        <v>1025</v>
      </c>
      <c r="B82" s="10" t="s">
        <v>1088</v>
      </c>
      <c r="C82" s="14">
        <v>-1.3967000000000001</v>
      </c>
      <c r="D82" s="14">
        <v>70.147599999999997</v>
      </c>
      <c r="E82" s="14">
        <v>-50.075000000000003</v>
      </c>
      <c r="F82" s="14">
        <v>18.893999999999998</v>
      </c>
      <c r="G82" s="14">
        <v>99.612099999999998</v>
      </c>
      <c r="H82" s="14">
        <v>-22.294899999999998</v>
      </c>
      <c r="I82" s="14">
        <v>-7.9725999999999999</v>
      </c>
      <c r="J82" s="14">
        <v>394.26830000000001</v>
      </c>
      <c r="K82" s="14">
        <v>69.547600000000003</v>
      </c>
      <c r="L82" s="14">
        <v>39.503300000000003</v>
      </c>
      <c r="M82" s="14">
        <v>-20.068899999999999</v>
      </c>
      <c r="N82" s="14">
        <v>0.13869999999999999</v>
      </c>
      <c r="O82" s="14">
        <v>16.928100000000001</v>
      </c>
      <c r="P82" s="14">
        <v>12.3629</v>
      </c>
      <c r="Q82" s="14">
        <v>6.3819999999999997</v>
      </c>
      <c r="R82" s="14">
        <v>20.885899999999999</v>
      </c>
      <c r="S82" s="14">
        <v>-0.21290000000000001</v>
      </c>
      <c r="T82" s="14">
        <v>11.570399999999999</v>
      </c>
      <c r="U82" s="14">
        <v>13.5547</v>
      </c>
      <c r="V82" s="14">
        <v>-11.3188</v>
      </c>
      <c r="W82" s="14">
        <v>37.6143</v>
      </c>
    </row>
    <row r="83" spans="1:23" x14ac:dyDescent="0.2">
      <c r="A83" s="10" t="s">
        <v>1027</v>
      </c>
      <c r="B83" s="10" t="s">
        <v>1089</v>
      </c>
      <c r="C83" s="14">
        <v>-100</v>
      </c>
      <c r="D83" s="14" t="s">
        <v>658</v>
      </c>
      <c r="E83" s="14" t="s">
        <v>658</v>
      </c>
      <c r="F83" s="14" t="s">
        <v>658</v>
      </c>
      <c r="G83" s="14" t="s">
        <v>658</v>
      </c>
      <c r="H83" s="14">
        <v>-56.9315</v>
      </c>
      <c r="I83" s="14">
        <v>157.29150000000001</v>
      </c>
      <c r="J83" s="14">
        <v>367.4298</v>
      </c>
      <c r="K83" s="14">
        <v>-17.184699999999999</v>
      </c>
      <c r="L83" s="14">
        <v>0.65139999999999998</v>
      </c>
      <c r="M83" s="14">
        <v>36.192999999999998</v>
      </c>
      <c r="N83" s="14">
        <v>3.7414999999999998</v>
      </c>
      <c r="O83" s="14">
        <v>-62.3001</v>
      </c>
      <c r="P83" s="14">
        <v>214.643</v>
      </c>
      <c r="Q83" s="14">
        <v>-45.468499999999999</v>
      </c>
      <c r="R83" s="14">
        <v>199.2698</v>
      </c>
      <c r="S83" s="14">
        <v>-91.089200000000005</v>
      </c>
      <c r="T83" s="14">
        <v>491.10579999999999</v>
      </c>
      <c r="U83" s="14">
        <v>-85.112399999999994</v>
      </c>
      <c r="V83" s="14">
        <v>17.814699999999998</v>
      </c>
      <c r="W83" s="14">
        <v>273.18549999999999</v>
      </c>
    </row>
    <row r="84" spans="1:23" x14ac:dyDescent="0.2">
      <c r="A84" s="10" t="s">
        <v>1029</v>
      </c>
      <c r="B84" s="10" t="s">
        <v>1090</v>
      </c>
      <c r="C84" s="14">
        <v>-100</v>
      </c>
      <c r="D84" s="14" t="s">
        <v>658</v>
      </c>
      <c r="E84" s="14" t="s">
        <v>658</v>
      </c>
      <c r="F84" s="14" t="s">
        <v>658</v>
      </c>
      <c r="G84" s="14" t="s">
        <v>658</v>
      </c>
      <c r="H84" s="14">
        <v>-56.9315</v>
      </c>
      <c r="I84" s="14">
        <v>157.29150000000001</v>
      </c>
      <c r="J84" s="14">
        <v>367.4298</v>
      </c>
      <c r="K84" s="14">
        <v>-17.184699999999999</v>
      </c>
      <c r="L84" s="14">
        <v>133.97640000000001</v>
      </c>
      <c r="M84" s="14">
        <v>1.0484</v>
      </c>
      <c r="N84" s="14">
        <v>-2.2822</v>
      </c>
      <c r="O84" s="14">
        <v>-67.871099999999998</v>
      </c>
      <c r="P84" s="14">
        <v>127.2555</v>
      </c>
      <c r="Q84" s="14">
        <v>-45.468499999999999</v>
      </c>
      <c r="R84" s="14">
        <v>229.7723</v>
      </c>
      <c r="S84" s="14">
        <v>-83.039100000000005</v>
      </c>
      <c r="T84" s="14">
        <v>214.03729999999999</v>
      </c>
      <c r="U84" s="14">
        <v>-66.265199999999993</v>
      </c>
      <c r="V84" s="14">
        <v>-18.2502</v>
      </c>
      <c r="W84" s="14">
        <v>992.75030000000004</v>
      </c>
    </row>
    <row r="85" spans="1:23" x14ac:dyDescent="0.2">
      <c r="A85" s="10" t="s">
        <v>782</v>
      </c>
      <c r="B85" s="10" t="s">
        <v>1091</v>
      </c>
      <c r="C85" s="14">
        <v>152.45339999999999</v>
      </c>
      <c r="D85" s="14">
        <v>5.5274000000000001</v>
      </c>
      <c r="E85" s="14">
        <v>3.8957999999999999</v>
      </c>
      <c r="F85" s="14">
        <v>2.9217</v>
      </c>
      <c r="G85" s="14">
        <v>32.280200000000001</v>
      </c>
      <c r="H85" s="14">
        <v>-3.5739999999999998</v>
      </c>
      <c r="I85" s="14">
        <v>5.5956999999999999</v>
      </c>
      <c r="J85" s="14">
        <v>10.4504</v>
      </c>
      <c r="K85" s="14">
        <v>12.993499999999999</v>
      </c>
      <c r="L85" s="14">
        <v>42.794499999999999</v>
      </c>
      <c r="M85" s="14">
        <v>10.2087</v>
      </c>
      <c r="N85" s="14">
        <v>9.8190000000000008</v>
      </c>
      <c r="O85" s="14">
        <v>2.2336</v>
      </c>
      <c r="P85" s="14">
        <v>4.6931000000000003</v>
      </c>
      <c r="Q85" s="14">
        <v>16.5731</v>
      </c>
      <c r="R85" s="14">
        <v>4.2079000000000004</v>
      </c>
      <c r="S85" s="14">
        <v>1.0364</v>
      </c>
      <c r="T85" s="14">
        <v>19.3188</v>
      </c>
      <c r="U85" s="14">
        <v>21.9467</v>
      </c>
      <c r="V85" s="14">
        <v>17.296700000000001</v>
      </c>
      <c r="W85" s="14">
        <v>11.114699999999999</v>
      </c>
    </row>
    <row r="86" spans="1:23" x14ac:dyDescent="0.2">
      <c r="A86" s="10" t="s">
        <v>1032</v>
      </c>
      <c r="B86" s="10" t="s">
        <v>1092</v>
      </c>
      <c r="C86" s="14">
        <v>121.43989999999999</v>
      </c>
      <c r="D86" s="14">
        <v>5.5274000000000001</v>
      </c>
      <c r="E86" s="14">
        <v>3.8957999999999999</v>
      </c>
      <c r="F86" s="14">
        <v>2.9217</v>
      </c>
      <c r="G86" s="14">
        <v>37.131900000000002</v>
      </c>
      <c r="H86" s="14">
        <v>-5.4617000000000004</v>
      </c>
      <c r="I86" s="14">
        <v>8.0406999999999993</v>
      </c>
      <c r="J86" s="14">
        <v>24.1524</v>
      </c>
      <c r="K86" s="14">
        <v>8.6324000000000005</v>
      </c>
      <c r="L86" s="14">
        <v>52.839799999999997</v>
      </c>
      <c r="M86" s="14">
        <v>8.6638000000000002</v>
      </c>
      <c r="N86" s="14">
        <v>7.9211</v>
      </c>
      <c r="O86" s="14">
        <v>-7.7215999999999996</v>
      </c>
      <c r="P86" s="14">
        <v>10.7529</v>
      </c>
      <c r="Q86" s="14">
        <v>10.279</v>
      </c>
      <c r="R86" s="14">
        <v>15.5236</v>
      </c>
      <c r="S86" s="14">
        <v>-11.003500000000001</v>
      </c>
      <c r="T86" s="14">
        <v>24.632999999999999</v>
      </c>
      <c r="U86" s="14">
        <v>15.880599999999999</v>
      </c>
      <c r="V86" s="14">
        <v>16.585100000000001</v>
      </c>
      <c r="W86" s="14">
        <v>24.894400000000001</v>
      </c>
    </row>
    <row r="87" spans="1:23" x14ac:dyDescent="0.2">
      <c r="A87" s="10" t="s">
        <v>1034</v>
      </c>
      <c r="B87" s="10" t="s">
        <v>1093</v>
      </c>
      <c r="C87" s="14">
        <v>99.210300000000004</v>
      </c>
      <c r="D87" s="14">
        <v>5.4829999999999997</v>
      </c>
      <c r="E87" s="14">
        <v>3.6406999999999998</v>
      </c>
      <c r="F87" s="14">
        <v>2.9217</v>
      </c>
      <c r="G87" s="14">
        <v>-16.322600000000001</v>
      </c>
      <c r="H87" s="14">
        <v>5.1332000000000004</v>
      </c>
      <c r="I87" s="14">
        <v>4.9127000000000001</v>
      </c>
      <c r="J87" s="14">
        <v>8.3793000000000006</v>
      </c>
      <c r="K87" s="14">
        <v>9.7433999999999994</v>
      </c>
      <c r="L87" s="14">
        <v>12.8727</v>
      </c>
      <c r="M87" s="14">
        <v>13.5093</v>
      </c>
      <c r="N87" s="14">
        <v>10.0504</v>
      </c>
      <c r="O87" s="14">
        <v>26.356400000000001</v>
      </c>
      <c r="P87" s="14">
        <v>2.9615999999999998</v>
      </c>
      <c r="Q87" s="14">
        <v>17.1265</v>
      </c>
      <c r="R87" s="14">
        <v>7.1780999999999997</v>
      </c>
      <c r="S87" s="14">
        <v>4.3806000000000003</v>
      </c>
      <c r="T87" s="14">
        <v>19.7041</v>
      </c>
      <c r="U87" s="14">
        <v>22.277699999999999</v>
      </c>
      <c r="V87" s="14">
        <v>17.1692</v>
      </c>
      <c r="W87" s="14">
        <v>10.841200000000001</v>
      </c>
    </row>
    <row r="88" spans="1:23" x14ac:dyDescent="0.2">
      <c r="A88" s="10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</row>
    <row r="89" spans="1:23" x14ac:dyDescent="0.2">
      <c r="A89" s="10" t="s">
        <v>1036</v>
      </c>
      <c r="B89" s="10" t="s">
        <v>1094</v>
      </c>
      <c r="C89" s="14">
        <v>-69.98</v>
      </c>
      <c r="D89" s="14">
        <v>190.82220000000001</v>
      </c>
      <c r="E89" s="14">
        <v>54.746600000000001</v>
      </c>
      <c r="F89" s="14">
        <v>-109.2286</v>
      </c>
      <c r="G89" s="14" t="s">
        <v>658</v>
      </c>
      <c r="H89" s="14">
        <v>148.2388</v>
      </c>
      <c r="I89" s="14">
        <v>-56.420900000000003</v>
      </c>
      <c r="J89" s="14">
        <v>173.85669999999999</v>
      </c>
      <c r="K89" s="14">
        <v>50.903300000000002</v>
      </c>
      <c r="L89" s="14">
        <v>-86.993600000000001</v>
      </c>
      <c r="M89" s="14">
        <v>672.72850000000005</v>
      </c>
      <c r="N89" s="14">
        <v>27.456499999999998</v>
      </c>
      <c r="O89" s="14">
        <v>16.501300000000001</v>
      </c>
      <c r="P89" s="14">
        <v>-39.302100000000003</v>
      </c>
      <c r="Q89" s="14">
        <v>76.099800000000002</v>
      </c>
      <c r="R89" s="14">
        <v>-3.5057999999999998</v>
      </c>
      <c r="S89" s="14">
        <v>26.832000000000001</v>
      </c>
      <c r="T89" s="14">
        <v>75.209900000000005</v>
      </c>
      <c r="U89" s="14">
        <v>-24.567599999999999</v>
      </c>
      <c r="V89" s="14">
        <v>42.807699999999997</v>
      </c>
      <c r="W89" s="14">
        <v>19.786899999999999</v>
      </c>
    </row>
    <row r="90" spans="1:23" x14ac:dyDescent="0.2">
      <c r="A90" s="10" t="s">
        <v>907</v>
      </c>
      <c r="B90" s="10" t="s">
        <v>1095</v>
      </c>
      <c r="C90" s="14">
        <v>39.158900000000003</v>
      </c>
      <c r="D90" s="14">
        <v>95.566599999999994</v>
      </c>
      <c r="E90" s="14">
        <v>-30.099900000000002</v>
      </c>
      <c r="F90" s="14">
        <v>96.617800000000003</v>
      </c>
      <c r="G90" s="14">
        <v>-17.213799999999999</v>
      </c>
      <c r="H90" s="14">
        <v>35.532499999999999</v>
      </c>
      <c r="I90" s="14">
        <v>7.9474</v>
      </c>
      <c r="J90" s="14">
        <v>471.13350000000003</v>
      </c>
      <c r="K90" s="14">
        <v>-80.821200000000005</v>
      </c>
      <c r="L90" s="14">
        <v>453.35700000000003</v>
      </c>
      <c r="M90" s="14">
        <v>-81.004400000000004</v>
      </c>
      <c r="N90" s="14">
        <v>57.369199999999999</v>
      </c>
      <c r="O90" s="14">
        <v>3.7679</v>
      </c>
      <c r="P90" s="14">
        <v>71.808700000000002</v>
      </c>
      <c r="Q90" s="14">
        <v>-47.494399999999999</v>
      </c>
      <c r="R90" s="14">
        <v>-20.7258</v>
      </c>
      <c r="S90" s="14">
        <v>-21.871099999999998</v>
      </c>
      <c r="T90" s="14">
        <v>48.5747</v>
      </c>
      <c r="U90" s="14">
        <v>63.530500000000004</v>
      </c>
      <c r="V90" s="14">
        <v>-59.1126</v>
      </c>
      <c r="W90" s="14">
        <v>120.1717</v>
      </c>
    </row>
    <row r="91" spans="1:23" x14ac:dyDescent="0.2">
      <c r="A91" s="10" t="s">
        <v>957</v>
      </c>
      <c r="B91" s="10" t="s">
        <v>1096</v>
      </c>
      <c r="C91" s="14">
        <v>-181.15119999999999</v>
      </c>
      <c r="D91" s="14" t="s">
        <v>658</v>
      </c>
      <c r="E91" s="14">
        <v>-10.686199999999999</v>
      </c>
      <c r="F91" s="14">
        <v>-345.8999</v>
      </c>
      <c r="G91" s="14" t="s">
        <v>658</v>
      </c>
      <c r="H91" s="14">
        <v>-139.31110000000001</v>
      </c>
      <c r="I91" s="14" t="s">
        <v>658</v>
      </c>
      <c r="J91" s="14" t="s">
        <v>658</v>
      </c>
      <c r="K91" s="14">
        <v>-118.8753</v>
      </c>
      <c r="L91" s="14" t="s">
        <v>658</v>
      </c>
      <c r="M91" s="14">
        <v>-23.148900000000001</v>
      </c>
      <c r="N91" s="14">
        <v>-118.4059</v>
      </c>
      <c r="O91" s="14" t="s">
        <v>658</v>
      </c>
      <c r="P91" s="14">
        <v>82.796099999999996</v>
      </c>
      <c r="Q91" s="14">
        <v>-186.15539999999999</v>
      </c>
      <c r="R91" s="14" t="s">
        <v>658</v>
      </c>
      <c r="S91" s="14">
        <v>-176.45590000000001</v>
      </c>
      <c r="T91" s="14" t="s">
        <v>658</v>
      </c>
      <c r="U91" s="14">
        <v>-150.3571</v>
      </c>
      <c r="V91" s="14" t="s">
        <v>658</v>
      </c>
      <c r="W91" s="14" t="s">
        <v>658</v>
      </c>
    </row>
    <row r="92" spans="1:23" x14ac:dyDescent="0.2">
      <c r="A92" s="10" t="s">
        <v>1040</v>
      </c>
      <c r="B92" s="10" t="s">
        <v>1097</v>
      </c>
      <c r="C92" s="14">
        <v>-89.956400000000002</v>
      </c>
      <c r="D92" s="14">
        <v>432.39589999999998</v>
      </c>
      <c r="E92" s="14">
        <v>133.78790000000001</v>
      </c>
      <c r="F92" s="14">
        <v>-166.5634</v>
      </c>
      <c r="G92" s="14" t="s">
        <v>658</v>
      </c>
      <c r="H92" s="14">
        <v>1046.2416000000001</v>
      </c>
      <c r="I92" s="14">
        <v>-117.0622</v>
      </c>
      <c r="J92" s="14" t="s">
        <v>658</v>
      </c>
      <c r="K92" s="14" t="s">
        <v>658</v>
      </c>
      <c r="L92" s="14">
        <v>-339.51510000000002</v>
      </c>
      <c r="M92" s="14" t="s">
        <v>658</v>
      </c>
      <c r="N92" s="14">
        <v>12.5161</v>
      </c>
      <c r="O92" s="14">
        <v>25.396599999999999</v>
      </c>
      <c r="P92" s="14">
        <v>-103.53319999999999</v>
      </c>
      <c r="Q92" s="14" t="s">
        <v>658</v>
      </c>
      <c r="R92" s="14">
        <v>4.2001999999999997</v>
      </c>
      <c r="S92" s="14">
        <v>43.4133</v>
      </c>
      <c r="T92" s="14">
        <v>80.150000000000006</v>
      </c>
      <c r="U92" s="14">
        <v>-38.043599999999998</v>
      </c>
      <c r="V92" s="14">
        <v>83.957499999999996</v>
      </c>
      <c r="W92" s="14">
        <v>10.778499999999999</v>
      </c>
    </row>
    <row r="93" spans="1:23" x14ac:dyDescent="0.2">
      <c r="A93" s="10" t="s">
        <v>1042</v>
      </c>
      <c r="B93" s="10" t="s">
        <v>1098</v>
      </c>
      <c r="C93" s="14">
        <v>-70.311800000000005</v>
      </c>
      <c r="D93" s="14" t="s">
        <v>658</v>
      </c>
      <c r="E93" s="14" t="s">
        <v>658</v>
      </c>
      <c r="F93" s="14" t="s">
        <v>658</v>
      </c>
      <c r="G93" s="14" t="s">
        <v>658</v>
      </c>
      <c r="H93" s="14">
        <v>137.9606</v>
      </c>
      <c r="I93" s="14">
        <v>-55.8797</v>
      </c>
      <c r="J93" s="14">
        <v>177.58860000000001</v>
      </c>
      <c r="K93" s="14">
        <v>53.094299999999997</v>
      </c>
      <c r="L93" s="14">
        <v>-82.302199999999999</v>
      </c>
      <c r="M93" s="14">
        <v>492.55700000000002</v>
      </c>
      <c r="N93" s="14">
        <v>24.787199999999999</v>
      </c>
      <c r="O93" s="14">
        <v>14.8247</v>
      </c>
      <c r="P93" s="14">
        <v>-38.509500000000003</v>
      </c>
      <c r="Q93" s="14">
        <v>71.3</v>
      </c>
      <c r="R93" s="14">
        <v>-3.6640999999999999</v>
      </c>
      <c r="S93" s="14">
        <v>25.2209</v>
      </c>
      <c r="T93" s="14">
        <v>72.9328</v>
      </c>
      <c r="U93" s="14">
        <v>-24.3249</v>
      </c>
      <c r="V93" s="14">
        <v>41.6051</v>
      </c>
      <c r="W93" s="14">
        <v>23.007100000000001</v>
      </c>
    </row>
    <row r="94" spans="1:23" x14ac:dyDescent="0.2">
      <c r="A94" s="10" t="s">
        <v>1044</v>
      </c>
      <c r="B94" s="10" t="s">
        <v>1099</v>
      </c>
      <c r="C94" s="14">
        <v>-89.665599999999998</v>
      </c>
      <c r="D94" s="14" t="s">
        <v>658</v>
      </c>
      <c r="E94" s="14" t="s">
        <v>658</v>
      </c>
      <c r="F94" s="14" t="s">
        <v>658</v>
      </c>
      <c r="G94" s="14" t="s">
        <v>658</v>
      </c>
      <c r="H94" s="14">
        <v>697.22339999999997</v>
      </c>
      <c r="I94" s="14">
        <v>-115.1266</v>
      </c>
      <c r="J94" s="14" t="s">
        <v>658</v>
      </c>
      <c r="K94" s="14" t="s">
        <v>658</v>
      </c>
      <c r="L94" s="14">
        <v>-315.8021</v>
      </c>
      <c r="M94" s="14" t="s">
        <v>658</v>
      </c>
      <c r="N94" s="14">
        <v>10.536799999999999</v>
      </c>
      <c r="O94" s="14">
        <v>21.709499999999998</v>
      </c>
      <c r="P94" s="14">
        <v>-97.075699999999998</v>
      </c>
      <c r="Q94" s="14">
        <v>3776.5666999999999</v>
      </c>
      <c r="R94" s="14">
        <v>3.5438000000000001</v>
      </c>
      <c r="S94" s="14">
        <v>40.452199999999998</v>
      </c>
      <c r="T94" s="14">
        <v>77.315200000000004</v>
      </c>
      <c r="U94" s="14">
        <v>-37.569600000000001</v>
      </c>
      <c r="V94" s="14">
        <v>81.377300000000005</v>
      </c>
      <c r="W94" s="14">
        <v>14.357699999999999</v>
      </c>
    </row>
    <row r="95" spans="1:23" x14ac:dyDescent="0.2">
      <c r="A95" s="7" t="s">
        <v>112</v>
      </c>
      <c r="B95" s="7"/>
      <c r="C95" s="7" t="s">
        <v>3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35"/>
  <sheetViews>
    <sheetView workbookViewId="0">
      <selection activeCell="A2" sqref="A2:AA35"/>
    </sheetView>
  </sheetViews>
  <sheetFormatPr baseColWidth="10" defaultColWidth="8.83203125" defaultRowHeight="15" x14ac:dyDescent="0.2"/>
  <cols>
    <col min="1" max="1" width="35.1640625" customWidth="1"/>
    <col min="2" max="2" width="0" hidden="1" customWidth="1"/>
    <col min="3" max="27" width="11.83203125" customWidth="1"/>
  </cols>
  <sheetData>
    <row r="1" spans="1:2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" x14ac:dyDescent="0.2">
      <c r="A2" s="8" t="s">
        <v>1100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">
      <c r="A4" s="3" t="s">
        <v>6</v>
      </c>
      <c r="B4" s="3"/>
      <c r="C4" s="4" t="s">
        <v>114</v>
      </c>
      <c r="D4" s="4" t="s">
        <v>4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</row>
    <row r="5" spans="1:27" x14ac:dyDescent="0.2">
      <c r="A5" s="9" t="s">
        <v>30</v>
      </c>
      <c r="B5" s="9"/>
      <c r="C5" s="5" t="s">
        <v>116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36</v>
      </c>
      <c r="J5" s="5" t="s">
        <v>37</v>
      </c>
      <c r="K5" s="5" t="s">
        <v>38</v>
      </c>
      <c r="L5" s="5" t="s">
        <v>39</v>
      </c>
      <c r="M5" s="5" t="s">
        <v>40</v>
      </c>
      <c r="N5" s="5" t="s">
        <v>41</v>
      </c>
      <c r="O5" s="5" t="s">
        <v>42</v>
      </c>
      <c r="P5" s="5" t="s">
        <v>43</v>
      </c>
      <c r="Q5" s="5" t="s">
        <v>44</v>
      </c>
      <c r="R5" s="5" t="s">
        <v>45</v>
      </c>
      <c r="S5" s="5" t="s">
        <v>46</v>
      </c>
      <c r="T5" s="5" t="s">
        <v>47</v>
      </c>
      <c r="U5" s="5" t="s">
        <v>48</v>
      </c>
      <c r="V5" s="5" t="s">
        <v>49</v>
      </c>
      <c r="W5" s="5" t="s">
        <v>50</v>
      </c>
      <c r="X5" s="5" t="s">
        <v>51</v>
      </c>
      <c r="Y5" s="5" t="s">
        <v>52</v>
      </c>
      <c r="Z5" s="5" t="s">
        <v>53</v>
      </c>
      <c r="AA5" s="5" t="s">
        <v>54</v>
      </c>
    </row>
    <row r="6" spans="1:27" x14ac:dyDescent="0.2">
      <c r="A6" s="6" t="s">
        <v>1101</v>
      </c>
      <c r="B6" s="6" t="s">
        <v>1102</v>
      </c>
      <c r="C6" s="19" t="s">
        <v>658</v>
      </c>
      <c r="D6" s="19">
        <v>3946.2943</v>
      </c>
      <c r="E6" s="19">
        <v>2583.2307999999998</v>
      </c>
      <c r="F6" s="19">
        <v>2129.4906000000001</v>
      </c>
      <c r="G6" s="19">
        <v>1146.1790000000001</v>
      </c>
      <c r="H6" s="19">
        <v>860.14930000000004</v>
      </c>
      <c r="I6" s="19">
        <v>1827.4294</v>
      </c>
      <c r="J6" s="19">
        <v>1747.8478</v>
      </c>
      <c r="K6" s="19">
        <v>1609.3169</v>
      </c>
      <c r="L6" s="19">
        <v>1553.3150000000001</v>
      </c>
      <c r="M6" s="19">
        <v>2912.0972000000002</v>
      </c>
      <c r="N6" s="19">
        <v>3952.5529999999999</v>
      </c>
      <c r="O6" s="19">
        <v>3171.4742999999999</v>
      </c>
      <c r="P6" s="19">
        <v>7468.8810000000003</v>
      </c>
      <c r="Q6" s="19">
        <v>6021.6747999999998</v>
      </c>
      <c r="R6" s="19">
        <v>6071.7816999999995</v>
      </c>
      <c r="S6" s="19">
        <v>2419.8703</v>
      </c>
      <c r="T6" s="19">
        <v>6799.8059999999996</v>
      </c>
      <c r="U6" s="19">
        <v>17661.221399999999</v>
      </c>
      <c r="V6" s="19">
        <v>16753.401600000001</v>
      </c>
      <c r="W6" s="19">
        <v>31437.3472</v>
      </c>
      <c r="X6" s="19">
        <v>37922.659200000002</v>
      </c>
      <c r="Y6" s="22">
        <v>45009.515223499999</v>
      </c>
      <c r="Z6" s="19"/>
      <c r="AA6" s="19"/>
    </row>
    <row r="7" spans="1:27" x14ac:dyDescent="0.2">
      <c r="A7" s="10" t="s">
        <v>1103</v>
      </c>
      <c r="B7" s="10" t="s">
        <v>1104</v>
      </c>
      <c r="C7" s="13">
        <v>91.010499999999993</v>
      </c>
      <c r="D7" s="13">
        <v>1019.3638999999999</v>
      </c>
      <c r="E7" s="13">
        <v>90.935100000000006</v>
      </c>
      <c r="F7" s="13">
        <v>239.3372</v>
      </c>
      <c r="G7" s="13">
        <v>47.193600000000004</v>
      </c>
      <c r="H7" s="13">
        <v>204.90819999999999</v>
      </c>
      <c r="I7" s="13">
        <v>135.47389999999999</v>
      </c>
      <c r="J7" s="13">
        <v>563.67629999999997</v>
      </c>
      <c r="K7" s="13">
        <v>443.4051</v>
      </c>
      <c r="L7" s="13">
        <v>741.23320000000001</v>
      </c>
      <c r="M7" s="13">
        <v>1078.5999999999999</v>
      </c>
      <c r="N7" s="13">
        <v>1219.2093</v>
      </c>
      <c r="O7" s="13">
        <v>1380.37</v>
      </c>
      <c r="P7" s="13">
        <v>1177.08</v>
      </c>
      <c r="Q7" s="13">
        <v>1056.48</v>
      </c>
      <c r="R7" s="13">
        <v>1188.72</v>
      </c>
      <c r="S7" s="13">
        <v>2242.1799999999998</v>
      </c>
      <c r="T7" s="13">
        <v>2584.52</v>
      </c>
      <c r="U7" s="13">
        <v>4317.1499999999996</v>
      </c>
      <c r="V7" s="13">
        <v>4013</v>
      </c>
      <c r="W7" s="13">
        <v>4582.6000000000004</v>
      </c>
      <c r="X7" s="13">
        <v>3653.3</v>
      </c>
      <c r="Y7" s="16">
        <v>4561.2</v>
      </c>
      <c r="Z7" s="13"/>
      <c r="AA7" s="13"/>
    </row>
    <row r="8" spans="1:27" x14ac:dyDescent="0.2">
      <c r="A8" s="10" t="s">
        <v>1105</v>
      </c>
      <c r="B8" s="10" t="s">
        <v>765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210</v>
      </c>
      <c r="I8" s="13">
        <v>3.5</v>
      </c>
      <c r="J8" s="13">
        <v>20</v>
      </c>
      <c r="K8" s="13">
        <v>20</v>
      </c>
      <c r="L8" s="13">
        <v>20</v>
      </c>
      <c r="M8" s="13">
        <v>791.75810000000001</v>
      </c>
      <c r="N8" s="13">
        <v>771.75810000000001</v>
      </c>
      <c r="O8" s="13">
        <v>771.76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0.1</v>
      </c>
      <c r="X8" s="13">
        <v>0</v>
      </c>
      <c r="Y8" s="16">
        <v>0</v>
      </c>
      <c r="Z8" s="13"/>
      <c r="AA8" s="13"/>
    </row>
    <row r="9" spans="1:27" x14ac:dyDescent="0.2">
      <c r="A9" s="10" t="s">
        <v>1106</v>
      </c>
      <c r="B9" s="10" t="s">
        <v>781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53.957500000000003</v>
      </c>
      <c r="L9" s="13">
        <v>151.78120000000001</v>
      </c>
      <c r="M9" s="13">
        <v>344.7817</v>
      </c>
      <c r="N9" s="13">
        <v>369.84179999999998</v>
      </c>
      <c r="O9" s="13">
        <v>473.1</v>
      </c>
      <c r="P9" s="13">
        <v>259.57</v>
      </c>
      <c r="Q9" s="13">
        <v>363.64</v>
      </c>
      <c r="R9" s="13">
        <v>393.67</v>
      </c>
      <c r="S9" s="13">
        <v>220.15</v>
      </c>
      <c r="T9" s="13">
        <v>-6.94</v>
      </c>
      <c r="U9" s="13">
        <v>-35.86</v>
      </c>
      <c r="V9" s="13">
        <v>-72.099999999999994</v>
      </c>
      <c r="W9" s="13">
        <v>-82.7</v>
      </c>
      <c r="X9" s="13">
        <v>-81.8</v>
      </c>
      <c r="Y9" s="16">
        <v>-82.6</v>
      </c>
      <c r="Z9" s="13"/>
      <c r="AA9" s="13"/>
    </row>
    <row r="10" spans="1:27" x14ac:dyDescent="0.2">
      <c r="A10" s="10" t="s">
        <v>1107</v>
      </c>
      <c r="B10" s="10" t="s">
        <v>1108</v>
      </c>
      <c r="C10" s="13">
        <v>92.140100000000004</v>
      </c>
      <c r="D10" s="13">
        <v>0</v>
      </c>
      <c r="E10" s="13">
        <v>0</v>
      </c>
      <c r="F10" s="13">
        <v>0</v>
      </c>
      <c r="G10" s="13">
        <v>0</v>
      </c>
      <c r="H10" s="13">
        <v>90.927599999999998</v>
      </c>
      <c r="I10" s="13">
        <v>39.161099999999998</v>
      </c>
      <c r="J10" s="13">
        <v>100.75830000000001</v>
      </c>
      <c r="K10" s="13">
        <v>470.9742</v>
      </c>
      <c r="L10" s="13">
        <v>390.0385</v>
      </c>
      <c r="M10" s="13">
        <v>912.59799999999996</v>
      </c>
      <c r="N10" s="13">
        <v>922.16549999999995</v>
      </c>
      <c r="O10" s="13">
        <v>901.12</v>
      </c>
      <c r="P10" s="13">
        <v>289.52</v>
      </c>
      <c r="Q10" s="13">
        <v>657.95</v>
      </c>
      <c r="R10" s="13">
        <v>358.79</v>
      </c>
      <c r="S10" s="13">
        <v>1183.19</v>
      </c>
      <c r="T10" s="13">
        <v>200.68</v>
      </c>
      <c r="U10" s="13">
        <v>630.21</v>
      </c>
      <c r="V10" s="13">
        <v>212.6</v>
      </c>
      <c r="W10" s="13">
        <v>173.8</v>
      </c>
      <c r="X10" s="13">
        <v>1899.2</v>
      </c>
      <c r="Y10" s="16">
        <v>1858.6</v>
      </c>
      <c r="Z10" s="13"/>
      <c r="AA10" s="13"/>
    </row>
    <row r="11" spans="1:27" x14ac:dyDescent="0.2">
      <c r="A11" s="6" t="s">
        <v>107</v>
      </c>
      <c r="B11" s="6" t="s">
        <v>108</v>
      </c>
      <c r="C11" s="19" t="s">
        <v>658</v>
      </c>
      <c r="D11" s="19">
        <v>2926.9304000000002</v>
      </c>
      <c r="E11" s="19">
        <v>2492.2957000000001</v>
      </c>
      <c r="F11" s="19">
        <v>1890.1533999999999</v>
      </c>
      <c r="G11" s="19">
        <v>1098.9854</v>
      </c>
      <c r="H11" s="19">
        <v>956.16880000000003</v>
      </c>
      <c r="I11" s="19">
        <v>1734.6167</v>
      </c>
      <c r="J11" s="19">
        <v>1304.9297999999999</v>
      </c>
      <c r="K11" s="19">
        <v>1710.8434999999999</v>
      </c>
      <c r="L11" s="19">
        <v>1373.9015999999999</v>
      </c>
      <c r="M11" s="19">
        <v>3882.6351</v>
      </c>
      <c r="N11" s="19">
        <v>4797.1090999999997</v>
      </c>
      <c r="O11" s="19">
        <v>3937.0843</v>
      </c>
      <c r="P11" s="19">
        <v>6840.8909999999996</v>
      </c>
      <c r="Q11" s="19">
        <v>5986.7848000000004</v>
      </c>
      <c r="R11" s="19">
        <v>5635.5217000000002</v>
      </c>
      <c r="S11" s="19">
        <v>1581.0302999999999</v>
      </c>
      <c r="T11" s="19">
        <v>4409.0259999999998</v>
      </c>
      <c r="U11" s="19">
        <v>13938.421399999999</v>
      </c>
      <c r="V11" s="19">
        <v>12880.901599999999</v>
      </c>
      <c r="W11" s="19">
        <v>26945.947199999999</v>
      </c>
      <c r="X11" s="19">
        <v>36086.7592</v>
      </c>
      <c r="Y11" s="22">
        <v>42224.315223500002</v>
      </c>
      <c r="Z11" s="19"/>
      <c r="AA11" s="19"/>
    </row>
    <row r="12" spans="1:27" x14ac:dyDescent="0.2">
      <c r="A12" s="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1"/>
      <c r="Z12" s="18"/>
      <c r="AA12" s="18"/>
    </row>
    <row r="13" spans="1:27" x14ac:dyDescent="0.2">
      <c r="A13" s="6" t="s">
        <v>1109</v>
      </c>
      <c r="B13" s="6" t="s">
        <v>1110</v>
      </c>
      <c r="C13" s="19">
        <v>750.0299</v>
      </c>
      <c r="D13" s="19">
        <v>1660.8653999999999</v>
      </c>
      <c r="E13" s="19">
        <v>1752.6684</v>
      </c>
      <c r="F13" s="19">
        <v>1820.9494</v>
      </c>
      <c r="G13" s="19">
        <v>1874.1516999999999</v>
      </c>
      <c r="H13" s="19">
        <v>2570.0599000000002</v>
      </c>
      <c r="I13" s="19">
        <v>2429.6900999999998</v>
      </c>
      <c r="J13" s="19">
        <v>2625.0538000000001</v>
      </c>
      <c r="K13" s="19">
        <v>3259.0684999999999</v>
      </c>
      <c r="L13" s="19">
        <v>3540.4047</v>
      </c>
      <c r="M13" s="19">
        <v>5411.1477000000004</v>
      </c>
      <c r="N13" s="19">
        <v>5879.9607999999998</v>
      </c>
      <c r="O13" s="19">
        <v>6345.72</v>
      </c>
      <c r="P13" s="19">
        <v>5855.73</v>
      </c>
      <c r="Q13" s="19">
        <v>6485.39</v>
      </c>
      <c r="R13" s="19">
        <v>7152.02</v>
      </c>
      <c r="S13" s="19">
        <v>8262.27</v>
      </c>
      <c r="T13" s="19">
        <v>7353.13</v>
      </c>
      <c r="U13" s="19">
        <v>9164.43</v>
      </c>
      <c r="V13" s="19">
        <v>10619.8</v>
      </c>
      <c r="W13" s="19">
        <v>12381.1</v>
      </c>
      <c r="X13" s="19">
        <v>15463.3</v>
      </c>
      <c r="Y13" s="22"/>
      <c r="Z13" s="19"/>
      <c r="AA13" s="19"/>
    </row>
    <row r="14" spans="1:27" x14ac:dyDescent="0.2">
      <c r="A14" s="10" t="s">
        <v>1111</v>
      </c>
      <c r="B14" s="10" t="s">
        <v>1112</v>
      </c>
      <c r="C14" s="14">
        <v>12.2849</v>
      </c>
      <c r="D14" s="14">
        <v>0</v>
      </c>
      <c r="E14" s="14">
        <v>0</v>
      </c>
      <c r="F14" s="14">
        <v>0</v>
      </c>
      <c r="G14" s="14">
        <v>0</v>
      </c>
      <c r="H14" s="14">
        <v>3.5379999999999998</v>
      </c>
      <c r="I14" s="14">
        <v>1.6117999999999999</v>
      </c>
      <c r="J14" s="14">
        <v>3.8382999999999998</v>
      </c>
      <c r="K14" s="14">
        <v>14.4512</v>
      </c>
      <c r="L14" s="14">
        <v>11.0168</v>
      </c>
      <c r="M14" s="14">
        <v>16.865100000000002</v>
      </c>
      <c r="N14" s="14">
        <v>15.683199999999999</v>
      </c>
      <c r="O14" s="14">
        <v>14.2004</v>
      </c>
      <c r="P14" s="14">
        <v>4.9442000000000004</v>
      </c>
      <c r="Q14" s="14">
        <v>10.145099999999999</v>
      </c>
      <c r="R14" s="14">
        <v>5.0166000000000004</v>
      </c>
      <c r="S14" s="14">
        <v>14.320399999999999</v>
      </c>
      <c r="T14" s="14">
        <v>2.7292000000000001</v>
      </c>
      <c r="U14" s="14">
        <v>6.8766999999999996</v>
      </c>
      <c r="V14" s="14">
        <v>2.0019</v>
      </c>
      <c r="W14" s="14">
        <v>1.4037999999999999</v>
      </c>
      <c r="X14" s="14">
        <v>12.282</v>
      </c>
      <c r="Y14" s="17"/>
      <c r="Z14" s="14"/>
      <c r="AA14" s="14"/>
    </row>
    <row r="15" spans="1:27" x14ac:dyDescent="0.2">
      <c r="A15" s="10" t="s">
        <v>1113</v>
      </c>
      <c r="B15" s="10" t="s">
        <v>1114</v>
      </c>
      <c r="C15" s="14" t="s">
        <v>658</v>
      </c>
      <c r="D15" s="14">
        <v>0</v>
      </c>
      <c r="E15" s="14">
        <v>0</v>
      </c>
      <c r="F15" s="14">
        <v>0</v>
      </c>
      <c r="G15" s="14">
        <v>0</v>
      </c>
      <c r="H15" s="14">
        <v>9.5100000000000004E-2</v>
      </c>
      <c r="I15" s="14">
        <v>2.2599999999999999E-2</v>
      </c>
      <c r="J15" s="14">
        <v>7.7200000000000005E-2</v>
      </c>
      <c r="K15" s="14">
        <v>0.27529999999999999</v>
      </c>
      <c r="L15" s="14">
        <v>0.28389999999999999</v>
      </c>
      <c r="M15" s="14">
        <v>0.23499999999999999</v>
      </c>
      <c r="N15" s="14">
        <v>0.19220000000000001</v>
      </c>
      <c r="O15" s="14">
        <v>0.22889999999999999</v>
      </c>
      <c r="P15" s="14">
        <v>4.2299999999999997E-2</v>
      </c>
      <c r="Q15" s="14">
        <v>0.1099</v>
      </c>
      <c r="R15" s="14">
        <v>6.3700000000000007E-2</v>
      </c>
      <c r="S15" s="14">
        <v>0.74839999999999995</v>
      </c>
      <c r="T15" s="14">
        <v>4.5499999999999999E-2</v>
      </c>
      <c r="U15" s="14">
        <v>4.5199999999999997E-2</v>
      </c>
      <c r="V15" s="14">
        <v>1.6500000000000001E-2</v>
      </c>
      <c r="W15" s="14">
        <v>6.4000000000000003E-3</v>
      </c>
      <c r="X15" s="14">
        <v>5.2600000000000001E-2</v>
      </c>
      <c r="Y15" s="17">
        <v>4.4017291699394903E-2</v>
      </c>
      <c r="Z15" s="14"/>
      <c r="AA15" s="14"/>
    </row>
    <row r="16" spans="1:27" x14ac:dyDescent="0.2">
      <c r="A16" s="6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1"/>
      <c r="Z16" s="18"/>
      <c r="AA16" s="18"/>
    </row>
    <row r="17" spans="1:27" x14ac:dyDescent="0.2">
      <c r="A17" s="6" t="s">
        <v>88</v>
      </c>
      <c r="B17" s="6" t="s">
        <v>89</v>
      </c>
      <c r="C17" s="20" t="s">
        <v>658</v>
      </c>
      <c r="D17" s="20">
        <v>1.9537</v>
      </c>
      <c r="E17" s="20">
        <v>1.7898000000000001</v>
      </c>
      <c r="F17" s="20">
        <v>1.2713000000000001</v>
      </c>
      <c r="G17" s="20">
        <v>0.7611</v>
      </c>
      <c r="H17" s="20">
        <v>0.31859999999999999</v>
      </c>
      <c r="I17" s="20">
        <v>0.68630000000000002</v>
      </c>
      <c r="J17" s="20">
        <v>0.47399999999999998</v>
      </c>
      <c r="K17" s="20">
        <v>0.38719999999999999</v>
      </c>
      <c r="L17" s="20">
        <v>0.24979999999999999</v>
      </c>
      <c r="M17" s="20">
        <v>0.52910000000000001</v>
      </c>
      <c r="N17" s="20">
        <v>0.57940000000000003</v>
      </c>
      <c r="O17" s="20">
        <v>0.4824</v>
      </c>
      <c r="P17" s="20">
        <v>0.78890000000000005</v>
      </c>
      <c r="Q17" s="20">
        <v>0.65769999999999995</v>
      </c>
      <c r="R17" s="20">
        <v>0.49719999999999998</v>
      </c>
      <c r="S17" s="20">
        <v>0.13139999999999999</v>
      </c>
      <c r="T17" s="20">
        <v>0.38369999999999999</v>
      </c>
      <c r="U17" s="20">
        <v>1.1605000000000001</v>
      </c>
      <c r="V17" s="20">
        <v>0.88270000000000004</v>
      </c>
      <c r="W17" s="20">
        <v>1.7385999999999999</v>
      </c>
      <c r="X17" s="20">
        <v>2.0939999999999999</v>
      </c>
      <c r="Y17" s="23">
        <v>2.1487763721603601</v>
      </c>
      <c r="Z17" s="20">
        <v>2.10900130979971</v>
      </c>
      <c r="AA17" s="20">
        <v>1.9309605900900899</v>
      </c>
    </row>
    <row r="18" spans="1:27" x14ac:dyDescent="0.2">
      <c r="A18" s="6" t="s">
        <v>93</v>
      </c>
      <c r="B18" s="6" t="s">
        <v>94</v>
      </c>
      <c r="C18" s="20" t="s">
        <v>658</v>
      </c>
      <c r="D18" s="20">
        <v>12.2521</v>
      </c>
      <c r="E18" s="20">
        <v>12.1891</v>
      </c>
      <c r="F18" s="20">
        <v>13.398999999999999</v>
      </c>
      <c r="G18" s="20">
        <v>11.0054</v>
      </c>
      <c r="H18" s="20">
        <v>2.9373</v>
      </c>
      <c r="I18" s="20">
        <v>13.972</v>
      </c>
      <c r="J18" s="20">
        <v>8.4776000000000007</v>
      </c>
      <c r="K18" s="20">
        <v>4.2055999999999996</v>
      </c>
      <c r="L18" s="20">
        <v>2.6692</v>
      </c>
      <c r="M18" s="20">
        <v>4.2693000000000003</v>
      </c>
      <c r="N18" s="20">
        <v>5.5585000000000004</v>
      </c>
      <c r="O18" s="20">
        <v>5.1984000000000004</v>
      </c>
      <c r="P18" s="20">
        <v>8.4618000000000002</v>
      </c>
      <c r="Q18" s="20">
        <v>7.2981999999999996</v>
      </c>
      <c r="R18" s="20">
        <v>4.2103999999999999</v>
      </c>
      <c r="S18" s="20">
        <v>1.3996</v>
      </c>
      <c r="T18" s="20">
        <v>3.3839000000000001</v>
      </c>
      <c r="U18" s="20">
        <v>7.2119</v>
      </c>
      <c r="V18" s="20">
        <v>5.3103999999999996</v>
      </c>
      <c r="W18" s="20">
        <v>11.0443</v>
      </c>
      <c r="X18" s="20">
        <v>15.740500000000001</v>
      </c>
      <c r="Y18" s="23">
        <v>14.3639662619064</v>
      </c>
      <c r="Z18" s="20">
        <v>12.005776229741301</v>
      </c>
      <c r="AA18" s="20">
        <v>10.851790028270401</v>
      </c>
    </row>
    <row r="19" spans="1:27" x14ac:dyDescent="0.2">
      <c r="A19" s="6" t="s">
        <v>98</v>
      </c>
      <c r="B19" s="6" t="s">
        <v>99</v>
      </c>
      <c r="C19" s="20" t="s">
        <v>658</v>
      </c>
      <c r="D19" s="20">
        <v>14.285600000000001</v>
      </c>
      <c r="E19" s="20">
        <v>15.341799999999999</v>
      </c>
      <c r="F19" s="20">
        <v>21.573799999999999</v>
      </c>
      <c r="G19" s="20">
        <v>24.7027</v>
      </c>
      <c r="H19" s="20">
        <v>3.9958999999999998</v>
      </c>
      <c r="I19" s="20">
        <v>39.311500000000002</v>
      </c>
      <c r="J19" s="20">
        <v>20.318899999999999</v>
      </c>
      <c r="K19" s="20">
        <v>5.8696999999999999</v>
      </c>
      <c r="L19" s="20">
        <v>3.4830999999999999</v>
      </c>
      <c r="M19" s="20">
        <v>5.1852</v>
      </c>
      <c r="N19" s="20">
        <v>7.3445</v>
      </c>
      <c r="O19" s="20">
        <v>8.0663</v>
      </c>
      <c r="P19" s="20">
        <v>12.785</v>
      </c>
      <c r="Q19" s="20">
        <v>9.7028999999999996</v>
      </c>
      <c r="R19" s="20">
        <v>5.2271999999999998</v>
      </c>
      <c r="S19" s="20">
        <v>1.8262</v>
      </c>
      <c r="T19" s="20">
        <v>4.2906000000000004</v>
      </c>
      <c r="U19" s="20">
        <v>8.7131000000000007</v>
      </c>
      <c r="V19" s="20">
        <v>6.2043999999999997</v>
      </c>
      <c r="W19" s="20">
        <v>12.972200000000001</v>
      </c>
      <c r="X19" s="20">
        <v>19.9132</v>
      </c>
      <c r="Y19" s="23">
        <v>19.732832612159999</v>
      </c>
      <c r="Z19" s="20">
        <v>15.517940177691999</v>
      </c>
      <c r="AA19" s="20">
        <v>13.7448942784831</v>
      </c>
    </row>
    <row r="20" spans="1:27" x14ac:dyDescent="0.2">
      <c r="A20" s="6" t="s">
        <v>1115</v>
      </c>
      <c r="B20" s="6" t="s">
        <v>1116</v>
      </c>
      <c r="C20" s="20" t="s">
        <v>658</v>
      </c>
      <c r="D20" s="20">
        <v>42.9328</v>
      </c>
      <c r="E20" s="20" t="s">
        <v>658</v>
      </c>
      <c r="F20" s="20" t="s">
        <v>658</v>
      </c>
      <c r="G20" s="20" t="s">
        <v>658</v>
      </c>
      <c r="H20" s="20">
        <v>7.5652999999999997</v>
      </c>
      <c r="I20" s="20">
        <v>5.7675000000000001</v>
      </c>
      <c r="J20" s="20">
        <v>9.8340999999999994</v>
      </c>
      <c r="K20" s="20">
        <v>4.6447000000000003</v>
      </c>
      <c r="L20" s="20">
        <v>2.4363999999999999</v>
      </c>
      <c r="M20" s="20">
        <v>38.9039</v>
      </c>
      <c r="N20" s="20">
        <v>8.1118000000000006</v>
      </c>
      <c r="O20" s="20">
        <v>5.3350999999999997</v>
      </c>
      <c r="P20" s="20">
        <v>8.0731999999999999</v>
      </c>
      <c r="Q20" s="20">
        <v>11.4899</v>
      </c>
      <c r="R20" s="20">
        <v>6.3139000000000003</v>
      </c>
      <c r="S20" s="20">
        <v>1.8387</v>
      </c>
      <c r="T20" s="20">
        <v>4.0949</v>
      </c>
      <c r="U20" s="20">
        <v>7.4858000000000002</v>
      </c>
      <c r="V20" s="20">
        <v>9.1415000000000006</v>
      </c>
      <c r="W20" s="20">
        <v>13.5047</v>
      </c>
      <c r="X20" s="20">
        <v>14.703099999999999</v>
      </c>
      <c r="Y20" s="23"/>
      <c r="Z20" s="20"/>
      <c r="AA20" s="20"/>
    </row>
    <row r="21" spans="1:27" x14ac:dyDescent="0.2">
      <c r="A21" s="6" t="s">
        <v>1117</v>
      </c>
      <c r="B21" s="6" t="s">
        <v>1118</v>
      </c>
      <c r="C21" s="20" t="s">
        <v>658</v>
      </c>
      <c r="D21" s="20">
        <v>145.1397</v>
      </c>
      <c r="E21" s="20" t="s">
        <v>658</v>
      </c>
      <c r="F21" s="20" t="s">
        <v>658</v>
      </c>
      <c r="G21" s="20" t="s">
        <v>658</v>
      </c>
      <c r="H21" s="20">
        <v>48.872100000000003</v>
      </c>
      <c r="I21" s="20">
        <v>11.1212</v>
      </c>
      <c r="J21" s="20">
        <v>-55.308599999999998</v>
      </c>
      <c r="K21" s="20">
        <v>-3.2633000000000001</v>
      </c>
      <c r="L21" s="20">
        <v>3.4984000000000002</v>
      </c>
      <c r="M21" s="20">
        <v>-4.5812999999999997</v>
      </c>
      <c r="N21" s="20">
        <v>11.659599999999999</v>
      </c>
      <c r="O21" s="20">
        <v>8.6570999999999998</v>
      </c>
      <c r="P21" s="20">
        <v>12.3591</v>
      </c>
      <c r="Q21" s="20">
        <v>369.86770000000001</v>
      </c>
      <c r="R21" s="20">
        <v>8.9812999999999992</v>
      </c>
      <c r="S21" s="20">
        <v>2.4333999999999998</v>
      </c>
      <c r="T21" s="20">
        <v>4.8316999999999997</v>
      </c>
      <c r="U21" s="20">
        <v>8.6143000000000001</v>
      </c>
      <c r="V21" s="20">
        <v>12.7514</v>
      </c>
      <c r="W21" s="20">
        <v>14.706899999999999</v>
      </c>
      <c r="X21" s="20">
        <v>17.223099999999999</v>
      </c>
      <c r="Y21" s="23"/>
      <c r="Z21" s="20"/>
      <c r="AA21" s="20"/>
    </row>
    <row r="22" spans="1:27" x14ac:dyDescent="0.2">
      <c r="A22" s="6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1"/>
      <c r="Z22" s="18"/>
      <c r="AA22" s="18"/>
    </row>
    <row r="23" spans="1:27" x14ac:dyDescent="0.2">
      <c r="A23" s="6" t="s">
        <v>1119</v>
      </c>
      <c r="B23" s="6" t="s">
        <v>1120</v>
      </c>
      <c r="C23" s="19" t="s">
        <v>658</v>
      </c>
      <c r="D23" s="19">
        <v>3906.9621000000002</v>
      </c>
      <c r="E23" s="19">
        <v>2590.3726999999999</v>
      </c>
      <c r="F23" s="19">
        <v>2138.2402999999999</v>
      </c>
      <c r="G23" s="19">
        <v>1153.4634000000001</v>
      </c>
      <c r="H23" s="19">
        <v>862.25170000000003</v>
      </c>
      <c r="I23" s="19">
        <v>1829.1964</v>
      </c>
      <c r="J23" s="19">
        <v>1785.5399</v>
      </c>
      <c r="K23" s="19">
        <v>1663.9168999999999</v>
      </c>
      <c r="L23" s="19">
        <v>1606.0150000000001</v>
      </c>
      <c r="M23" s="19">
        <v>2962.5808000000002</v>
      </c>
      <c r="N23" s="19">
        <v>3968.8654999999999</v>
      </c>
      <c r="O23" s="19">
        <v>3237.5322999999999</v>
      </c>
      <c r="P23" s="19">
        <v>7468.8810000000003</v>
      </c>
      <c r="Q23" s="19">
        <v>6021.6747999999998</v>
      </c>
      <c r="R23" s="19">
        <v>6071.7816999999995</v>
      </c>
      <c r="S23" s="19">
        <v>2419.8703</v>
      </c>
      <c r="T23" s="19">
        <v>6799.8059999999996</v>
      </c>
      <c r="U23" s="19">
        <v>17661.221399999999</v>
      </c>
      <c r="V23" s="19">
        <v>16753.401600000001</v>
      </c>
      <c r="W23" s="19">
        <v>31424.767199999998</v>
      </c>
      <c r="X23" s="19">
        <v>37891.82</v>
      </c>
      <c r="Y23" s="22">
        <v>44972.912964499999</v>
      </c>
      <c r="Z23" s="19"/>
      <c r="AA23" s="19"/>
    </row>
    <row r="24" spans="1:27" x14ac:dyDescent="0.2">
      <c r="A24" s="6" t="s">
        <v>1121</v>
      </c>
      <c r="B24" s="6" t="s">
        <v>1122</v>
      </c>
      <c r="C24" s="19" t="s">
        <v>658</v>
      </c>
      <c r="D24" s="19">
        <v>2953.7910000000002</v>
      </c>
      <c r="E24" s="19">
        <v>2499.8577</v>
      </c>
      <c r="F24" s="19">
        <v>1900.9048</v>
      </c>
      <c r="G24" s="19">
        <v>1106.2699</v>
      </c>
      <c r="H24" s="19">
        <v>958.52809999999999</v>
      </c>
      <c r="I24" s="19">
        <v>1737.1035999999999</v>
      </c>
      <c r="J24" s="19">
        <v>1342.6217999999999</v>
      </c>
      <c r="K24" s="19">
        <v>1765.4435000000001</v>
      </c>
      <c r="L24" s="19">
        <v>1426.6016</v>
      </c>
      <c r="M24" s="19">
        <v>3933.1185999999998</v>
      </c>
      <c r="N24" s="19">
        <v>4813.4215000000004</v>
      </c>
      <c r="O24" s="19">
        <v>4003.1423</v>
      </c>
      <c r="P24" s="19">
        <v>6840.8909999999996</v>
      </c>
      <c r="Q24" s="19">
        <v>5986.7848000000004</v>
      </c>
      <c r="R24" s="19">
        <v>5635.5217000000002</v>
      </c>
      <c r="S24" s="19">
        <v>1581.0302999999999</v>
      </c>
      <c r="T24" s="19">
        <v>4409.0259999999998</v>
      </c>
      <c r="U24" s="19">
        <v>13938.2227</v>
      </c>
      <c r="V24" s="19">
        <v>12880.901599999999</v>
      </c>
      <c r="W24" s="19">
        <v>26945.947199999999</v>
      </c>
      <c r="X24" s="19">
        <v>36086.7592</v>
      </c>
      <c r="Y24" s="22">
        <v>43173.615223499997</v>
      </c>
      <c r="Z24" s="19"/>
      <c r="AA24" s="19"/>
    </row>
    <row r="25" spans="1:27" x14ac:dyDescent="0.2">
      <c r="A25" s="6" t="s">
        <v>1123</v>
      </c>
      <c r="B25" s="6" t="s">
        <v>1124</v>
      </c>
      <c r="C25" s="20" t="s">
        <v>658</v>
      </c>
      <c r="D25" s="20">
        <v>72.092399999999998</v>
      </c>
      <c r="E25" s="20">
        <v>61.3611</v>
      </c>
      <c r="F25" s="20">
        <v>46.421900000000001</v>
      </c>
      <c r="G25" s="20">
        <v>26.9909</v>
      </c>
      <c r="H25" s="20">
        <v>16.229800000000001</v>
      </c>
      <c r="I25" s="20">
        <v>29.4255</v>
      </c>
      <c r="J25" s="20">
        <v>22.136500000000002</v>
      </c>
      <c r="K25" s="20">
        <v>29.022300000000001</v>
      </c>
      <c r="L25" s="20">
        <v>23.3065</v>
      </c>
      <c r="M25" s="20">
        <v>65.863900000000001</v>
      </c>
      <c r="N25" s="20">
        <v>81.376800000000003</v>
      </c>
      <c r="O25" s="20">
        <v>66.787599999999998</v>
      </c>
      <c r="P25" s="20">
        <v>116.047</v>
      </c>
      <c r="Q25" s="20">
        <v>101.5581</v>
      </c>
      <c r="R25" s="20">
        <v>95.599400000000003</v>
      </c>
      <c r="S25" s="20">
        <v>26.8202</v>
      </c>
      <c r="T25" s="20">
        <v>74.793499999999995</v>
      </c>
      <c r="U25" s="20">
        <v>236.44749999999999</v>
      </c>
      <c r="V25" s="20">
        <v>218.50800000000001</v>
      </c>
      <c r="W25" s="20">
        <v>456.6798</v>
      </c>
      <c r="X25" s="20">
        <v>610.53909999999996</v>
      </c>
      <c r="Y25" s="23"/>
      <c r="Z25" s="20"/>
      <c r="AA25" s="20"/>
    </row>
    <row r="26" spans="1:27" x14ac:dyDescent="0.2">
      <c r="A26" s="6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1"/>
      <c r="Z26" s="18"/>
      <c r="AA26" s="18"/>
    </row>
    <row r="27" spans="1:27" x14ac:dyDescent="0.2">
      <c r="A27" s="6" t="s">
        <v>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1"/>
      <c r="Z27" s="18"/>
      <c r="AA27" s="18"/>
    </row>
    <row r="28" spans="1:27" x14ac:dyDescent="0.2">
      <c r="A28" s="11" t="s">
        <v>1125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7"/>
      <c r="Z28" s="24"/>
      <c r="AA28" s="24"/>
    </row>
    <row r="29" spans="1:27" x14ac:dyDescent="0.2">
      <c r="A29" s="10" t="s">
        <v>1126</v>
      </c>
      <c r="B29" s="10" t="s">
        <v>1127</v>
      </c>
      <c r="C29" s="12" t="s">
        <v>1128</v>
      </c>
      <c r="D29" s="12" t="s">
        <v>1128</v>
      </c>
      <c r="E29" s="12" t="s">
        <v>1128</v>
      </c>
      <c r="F29" s="12" t="s">
        <v>1128</v>
      </c>
      <c r="G29" s="12" t="s">
        <v>1128</v>
      </c>
      <c r="H29" s="12" t="s">
        <v>1128</v>
      </c>
      <c r="I29" s="12" t="s">
        <v>1128</v>
      </c>
      <c r="J29" s="12" t="s">
        <v>1128</v>
      </c>
      <c r="K29" s="12" t="s">
        <v>1128</v>
      </c>
      <c r="L29" s="12" t="s">
        <v>1128</v>
      </c>
      <c r="M29" s="12" t="s">
        <v>1128</v>
      </c>
      <c r="N29" s="12" t="s">
        <v>1128</v>
      </c>
      <c r="O29" s="12" t="s">
        <v>1128</v>
      </c>
      <c r="P29" s="12" t="s">
        <v>1128</v>
      </c>
      <c r="Q29" s="12" t="s">
        <v>1128</v>
      </c>
      <c r="R29" s="12" t="s">
        <v>1128</v>
      </c>
      <c r="S29" s="12" t="s">
        <v>1129</v>
      </c>
      <c r="T29" s="12" t="s">
        <v>1129</v>
      </c>
      <c r="U29" s="12" t="s">
        <v>1129</v>
      </c>
      <c r="V29" s="12" t="s">
        <v>1129</v>
      </c>
      <c r="W29" s="12" t="s">
        <v>1129</v>
      </c>
      <c r="X29" s="12" t="s">
        <v>1129</v>
      </c>
      <c r="Y29" s="15" t="s">
        <v>1129</v>
      </c>
      <c r="Z29" s="12"/>
      <c r="AA29" s="12"/>
    </row>
    <row r="30" spans="1:27" x14ac:dyDescent="0.2">
      <c r="A30" s="10" t="s">
        <v>1130</v>
      </c>
      <c r="B30" s="10" t="s">
        <v>1131</v>
      </c>
      <c r="C30" s="13">
        <v>1031.0623000000001</v>
      </c>
      <c r="D30" s="13">
        <v>1498.1786</v>
      </c>
      <c r="E30" s="13">
        <v>1392.4862000000001</v>
      </c>
      <c r="F30" s="13">
        <v>1486.7352000000001</v>
      </c>
      <c r="G30" s="13">
        <v>1443.8706999999999</v>
      </c>
      <c r="H30" s="13">
        <v>3001.4675000000002</v>
      </c>
      <c r="I30" s="13">
        <v>2527.5346</v>
      </c>
      <c r="J30" s="13">
        <v>2753.2278999999999</v>
      </c>
      <c r="K30" s="13">
        <v>4418.9156999999996</v>
      </c>
      <c r="L30" s="13">
        <v>5500.0391</v>
      </c>
      <c r="M30" s="13">
        <v>7338.0617000000002</v>
      </c>
      <c r="N30" s="13">
        <v>8279.9478999999992</v>
      </c>
      <c r="O30" s="13">
        <v>8161.78</v>
      </c>
      <c r="P30" s="13">
        <v>8671.24</v>
      </c>
      <c r="Q30" s="13">
        <v>9102.69</v>
      </c>
      <c r="R30" s="13">
        <v>11334.9</v>
      </c>
      <c r="S30" s="13">
        <v>12033.24</v>
      </c>
      <c r="T30" s="13">
        <v>11490.53</v>
      </c>
      <c r="U30" s="13">
        <v>12010.47</v>
      </c>
      <c r="V30" s="13">
        <v>14591.9</v>
      </c>
      <c r="W30" s="13">
        <v>15498.9</v>
      </c>
      <c r="X30" s="13">
        <v>17233.599999999999</v>
      </c>
      <c r="Y30" s="16">
        <v>19650.400000000001</v>
      </c>
      <c r="Z30" s="13">
        <v>20021</v>
      </c>
      <c r="AA30" s="13">
        <v>21867</v>
      </c>
    </row>
    <row r="31" spans="1:27" x14ac:dyDescent="0.2">
      <c r="A31" s="10" t="s">
        <v>205</v>
      </c>
      <c r="B31" s="10" t="s">
        <v>1132</v>
      </c>
      <c r="C31" s="13">
        <v>292.1628</v>
      </c>
      <c r="D31" s="13">
        <v>238.89240000000001</v>
      </c>
      <c r="E31" s="13">
        <v>204.46960000000001</v>
      </c>
      <c r="F31" s="13">
        <v>141.06700000000001</v>
      </c>
      <c r="G31" s="13">
        <v>99.858599999999996</v>
      </c>
      <c r="H31" s="13">
        <v>325.52179999999998</v>
      </c>
      <c r="I31" s="13">
        <v>124.14919999999999</v>
      </c>
      <c r="J31" s="13">
        <v>153.92590000000001</v>
      </c>
      <c r="K31" s="13">
        <v>406.80259999999998</v>
      </c>
      <c r="L31" s="13">
        <v>514.72900000000004</v>
      </c>
      <c r="M31" s="13">
        <v>909.44079999999997</v>
      </c>
      <c r="N31" s="13">
        <v>863.0163</v>
      </c>
      <c r="O31" s="13">
        <v>757.37</v>
      </c>
      <c r="P31" s="13">
        <v>808.44</v>
      </c>
      <c r="Q31" s="13">
        <v>820.31</v>
      </c>
      <c r="R31" s="13">
        <v>1338.47</v>
      </c>
      <c r="S31" s="13">
        <v>1129.67</v>
      </c>
      <c r="T31" s="13">
        <v>1302.93</v>
      </c>
      <c r="U31" s="13">
        <v>1932.7</v>
      </c>
      <c r="V31" s="13">
        <v>2425.6</v>
      </c>
      <c r="W31" s="13">
        <v>2439.8000000000002</v>
      </c>
      <c r="X31" s="13">
        <v>2292.6</v>
      </c>
      <c r="Y31" s="16">
        <v>2953.9</v>
      </c>
      <c r="Z31" s="13">
        <v>3517</v>
      </c>
      <c r="AA31" s="13">
        <v>3891</v>
      </c>
    </row>
    <row r="32" spans="1:27" x14ac:dyDescent="0.2">
      <c r="A32" s="10" t="s">
        <v>209</v>
      </c>
      <c r="B32" s="10" t="s">
        <v>1133</v>
      </c>
      <c r="C32" s="13">
        <v>262.91609999999997</v>
      </c>
      <c r="D32" s="13">
        <v>204.88740000000001</v>
      </c>
      <c r="E32" s="13">
        <v>162.45099999999999</v>
      </c>
      <c r="F32" s="13">
        <v>87.613299999999995</v>
      </c>
      <c r="G32" s="13">
        <v>44.488399999999999</v>
      </c>
      <c r="H32" s="13">
        <v>239.28909999999999</v>
      </c>
      <c r="I32" s="13">
        <v>44.124899999999997</v>
      </c>
      <c r="J32" s="13">
        <v>64.222399999999993</v>
      </c>
      <c r="K32" s="13">
        <v>291.47160000000002</v>
      </c>
      <c r="L32" s="13">
        <v>394.44619999999998</v>
      </c>
      <c r="M32" s="13">
        <v>748.79700000000003</v>
      </c>
      <c r="N32" s="13">
        <v>653.15750000000003</v>
      </c>
      <c r="O32" s="13">
        <v>488.09</v>
      </c>
      <c r="P32" s="13">
        <v>535.07000000000005</v>
      </c>
      <c r="Q32" s="13">
        <v>617.01</v>
      </c>
      <c r="R32" s="13">
        <v>1078.1199999999999</v>
      </c>
      <c r="S32" s="13">
        <v>865.76</v>
      </c>
      <c r="T32" s="13">
        <v>1027.6099999999999</v>
      </c>
      <c r="U32" s="13">
        <v>1599.7</v>
      </c>
      <c r="V32" s="13">
        <v>2076.1</v>
      </c>
      <c r="W32" s="13">
        <v>2077.1999999999998</v>
      </c>
      <c r="X32" s="13">
        <v>1812.2</v>
      </c>
      <c r="Y32" s="16">
        <v>2139.8000000000002</v>
      </c>
      <c r="Z32" s="13">
        <v>2721</v>
      </c>
      <c r="AA32" s="13">
        <v>3072</v>
      </c>
    </row>
    <row r="33" spans="1:27" x14ac:dyDescent="0.2">
      <c r="A33" s="10" t="s">
        <v>1134</v>
      </c>
      <c r="B33" s="10" t="s">
        <v>1135</v>
      </c>
      <c r="C33" s="13">
        <v>229.636</v>
      </c>
      <c r="D33" s="13">
        <v>68.174700000000001</v>
      </c>
      <c r="E33" s="13" t="s">
        <v>658</v>
      </c>
      <c r="F33" s="13" t="s">
        <v>658</v>
      </c>
      <c r="G33" s="13" t="s">
        <v>658</v>
      </c>
      <c r="H33" s="13">
        <v>126.3891</v>
      </c>
      <c r="I33" s="13">
        <v>300.75630000000001</v>
      </c>
      <c r="J33" s="13">
        <v>132.69460000000001</v>
      </c>
      <c r="K33" s="13">
        <v>368.34500000000003</v>
      </c>
      <c r="L33" s="13">
        <v>563.91510000000005</v>
      </c>
      <c r="M33" s="13">
        <v>99.800600000000003</v>
      </c>
      <c r="N33" s="13">
        <v>591.37549999999999</v>
      </c>
      <c r="O33" s="13">
        <v>737.96079999999995</v>
      </c>
      <c r="P33" s="13">
        <v>847.36120000000005</v>
      </c>
      <c r="Q33" s="13">
        <v>521.04629999999997</v>
      </c>
      <c r="R33" s="13">
        <v>892.55219999999997</v>
      </c>
      <c r="S33" s="13">
        <v>859.84849999999994</v>
      </c>
      <c r="T33" s="13">
        <v>1076.7097000000001</v>
      </c>
      <c r="U33" s="13">
        <v>1861.9842000000001</v>
      </c>
      <c r="V33" s="13">
        <v>1409.0577000000001</v>
      </c>
      <c r="W33" s="13">
        <v>1995.2971</v>
      </c>
      <c r="X33" s="13">
        <v>2454.3578000000002</v>
      </c>
      <c r="Y33" s="16"/>
      <c r="Z33" s="13"/>
      <c r="AA33" s="13"/>
    </row>
    <row r="34" spans="1:27" x14ac:dyDescent="0.2">
      <c r="A34" s="10" t="s">
        <v>1136</v>
      </c>
      <c r="B34" s="10" t="s">
        <v>1137</v>
      </c>
      <c r="C34" s="13">
        <v>195.137</v>
      </c>
      <c r="D34" s="13">
        <v>20.1663</v>
      </c>
      <c r="E34" s="13" t="s">
        <v>658</v>
      </c>
      <c r="F34" s="13" t="s">
        <v>658</v>
      </c>
      <c r="G34" s="13" t="s">
        <v>658</v>
      </c>
      <c r="H34" s="13">
        <v>19.564699999999998</v>
      </c>
      <c r="I34" s="13">
        <v>155.97450000000001</v>
      </c>
      <c r="J34" s="13">
        <v>-23.593599999999999</v>
      </c>
      <c r="K34" s="13">
        <v>-524.26919999999996</v>
      </c>
      <c r="L34" s="13">
        <v>392.72269999999997</v>
      </c>
      <c r="M34" s="13">
        <v>-847.50390000000004</v>
      </c>
      <c r="N34" s="13">
        <v>411.42919999999998</v>
      </c>
      <c r="O34" s="13">
        <v>454.7808</v>
      </c>
      <c r="P34" s="13">
        <v>553.51120000000003</v>
      </c>
      <c r="Q34" s="13">
        <v>16.186299999999999</v>
      </c>
      <c r="R34" s="13">
        <v>627.47220000000004</v>
      </c>
      <c r="S34" s="13">
        <v>649.70849999999996</v>
      </c>
      <c r="T34" s="13">
        <v>912.52970000000005</v>
      </c>
      <c r="U34" s="13">
        <v>1618.0542</v>
      </c>
      <c r="V34" s="13">
        <v>1010.1577</v>
      </c>
      <c r="W34" s="13">
        <v>1832.1971000000001</v>
      </c>
      <c r="X34" s="13">
        <v>2095.2577999999999</v>
      </c>
      <c r="Y34" s="16"/>
      <c r="Z34" s="13"/>
      <c r="AA34" s="13"/>
    </row>
    <row r="35" spans="1:27" x14ac:dyDescent="0.2">
      <c r="A35" s="7" t="s">
        <v>112</v>
      </c>
      <c r="B35" s="7"/>
      <c r="C35" s="7" t="s">
        <v>3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5"/>
  <sheetViews>
    <sheetView workbookViewId="0">
      <selection activeCell="A2" sqref="A2:X15"/>
    </sheetView>
  </sheetViews>
  <sheetFormatPr baseColWidth="10" defaultColWidth="8.83203125" defaultRowHeight="15" x14ac:dyDescent="0.2"/>
  <cols>
    <col min="1" max="1" width="35.1640625" customWidth="1"/>
    <col min="2" max="2" width="0" hidden="1" customWidth="1"/>
    <col min="3" max="24" width="11.83203125" customWidth="1"/>
  </cols>
  <sheetData>
    <row r="1" spans="1:2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" x14ac:dyDescent="0.2">
      <c r="A2" s="8" t="s">
        <v>1138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">
      <c r="A4" s="3" t="s">
        <v>6</v>
      </c>
      <c r="B4" s="3"/>
      <c r="C4" s="4" t="s">
        <v>4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</row>
    <row r="5" spans="1:24" x14ac:dyDescent="0.2">
      <c r="A5" s="9" t="s">
        <v>30</v>
      </c>
      <c r="B5" s="9"/>
      <c r="C5" s="5" t="s">
        <v>31</v>
      </c>
      <c r="D5" s="5" t="s">
        <v>32</v>
      </c>
      <c r="E5" s="5" t="s">
        <v>33</v>
      </c>
      <c r="F5" s="5" t="s">
        <v>34</v>
      </c>
      <c r="G5" s="5" t="s">
        <v>35</v>
      </c>
      <c r="H5" s="5" t="s">
        <v>36</v>
      </c>
      <c r="I5" s="5" t="s">
        <v>37</v>
      </c>
      <c r="J5" s="5" t="s">
        <v>38</v>
      </c>
      <c r="K5" s="5" t="s">
        <v>39</v>
      </c>
      <c r="L5" s="5" t="s">
        <v>40</v>
      </c>
      <c r="M5" s="5" t="s">
        <v>41</v>
      </c>
      <c r="N5" s="5" t="s">
        <v>42</v>
      </c>
      <c r="O5" s="5" t="s">
        <v>43</v>
      </c>
      <c r="P5" s="5" t="s">
        <v>44</v>
      </c>
      <c r="Q5" s="5" t="s">
        <v>45</v>
      </c>
      <c r="R5" s="5" t="s">
        <v>46</v>
      </c>
      <c r="S5" s="5" t="s">
        <v>47</v>
      </c>
      <c r="T5" s="5" t="s">
        <v>48</v>
      </c>
      <c r="U5" s="5" t="s">
        <v>49</v>
      </c>
      <c r="V5" s="5" t="s">
        <v>50</v>
      </c>
      <c r="W5" s="5" t="s">
        <v>51</v>
      </c>
      <c r="X5" s="5" t="s">
        <v>52</v>
      </c>
    </row>
    <row r="6" spans="1:24" x14ac:dyDescent="0.2">
      <c r="A6" s="6" t="s">
        <v>1139</v>
      </c>
      <c r="B6" s="6" t="s">
        <v>104</v>
      </c>
      <c r="C6" s="20">
        <v>97.2</v>
      </c>
      <c r="D6" s="20">
        <v>63.6</v>
      </c>
      <c r="E6" s="20">
        <v>52.3</v>
      </c>
      <c r="F6" s="20">
        <v>28.15</v>
      </c>
      <c r="G6" s="20">
        <v>14.6</v>
      </c>
      <c r="H6" s="20">
        <v>31</v>
      </c>
      <c r="I6" s="20">
        <v>29.65</v>
      </c>
      <c r="J6" s="20">
        <v>27.3</v>
      </c>
      <c r="K6" s="20">
        <v>26.35</v>
      </c>
      <c r="L6" s="20">
        <v>49.4</v>
      </c>
      <c r="M6" s="20">
        <v>67.05</v>
      </c>
      <c r="N6" s="20">
        <v>53.8</v>
      </c>
      <c r="O6" s="20">
        <v>126.7</v>
      </c>
      <c r="P6" s="20">
        <v>102.15</v>
      </c>
      <c r="Q6" s="20">
        <v>103</v>
      </c>
      <c r="R6" s="20">
        <v>41.05</v>
      </c>
      <c r="S6" s="20">
        <v>115.35</v>
      </c>
      <c r="T6" s="20">
        <v>299.60000000000002</v>
      </c>
      <c r="U6" s="20">
        <v>284.2</v>
      </c>
      <c r="V6" s="20">
        <v>532.79999999999995</v>
      </c>
      <c r="W6" s="20">
        <v>641.6</v>
      </c>
      <c r="X6" s="23">
        <v>761.5</v>
      </c>
    </row>
    <row r="7" spans="1:24" x14ac:dyDescent="0.2">
      <c r="A7" s="11" t="s">
        <v>1140</v>
      </c>
      <c r="B7" s="11" t="s">
        <v>1141</v>
      </c>
      <c r="C7" s="26" t="s">
        <v>658</v>
      </c>
      <c r="D7" s="26">
        <v>-34.567900000000002</v>
      </c>
      <c r="E7" s="26">
        <v>-17.767299999999999</v>
      </c>
      <c r="F7" s="26">
        <v>-46.175899999999999</v>
      </c>
      <c r="G7" s="26">
        <v>-48.134999999999998</v>
      </c>
      <c r="H7" s="26">
        <v>112.3288</v>
      </c>
      <c r="I7" s="26">
        <v>-4.3548</v>
      </c>
      <c r="J7" s="26">
        <v>-7.9257999999999997</v>
      </c>
      <c r="K7" s="26">
        <v>-3.4799000000000002</v>
      </c>
      <c r="L7" s="26">
        <v>87.476299999999995</v>
      </c>
      <c r="M7" s="26">
        <v>35.728700000000003</v>
      </c>
      <c r="N7" s="26">
        <v>-19.761399999999998</v>
      </c>
      <c r="O7" s="26">
        <v>135.50190000000001</v>
      </c>
      <c r="P7" s="26">
        <v>-19.3765</v>
      </c>
      <c r="Q7" s="26">
        <v>0.83209999999999995</v>
      </c>
      <c r="R7" s="26">
        <v>-60.145600000000002</v>
      </c>
      <c r="S7" s="26">
        <v>180.99879999999999</v>
      </c>
      <c r="T7" s="26">
        <v>159.7313</v>
      </c>
      <c r="U7" s="26">
        <v>-5.1402000000000001</v>
      </c>
      <c r="V7" s="26">
        <v>87.473600000000005</v>
      </c>
      <c r="W7" s="26">
        <v>20.420400000000001</v>
      </c>
      <c r="X7" s="29"/>
    </row>
    <row r="8" spans="1:24" x14ac:dyDescent="0.2">
      <c r="A8" s="10" t="s">
        <v>1142</v>
      </c>
      <c r="B8" s="10" t="s">
        <v>1143</v>
      </c>
      <c r="C8" s="14">
        <v>164.85</v>
      </c>
      <c r="D8" s="14">
        <v>99</v>
      </c>
      <c r="E8" s="14">
        <v>65.5</v>
      </c>
      <c r="F8" s="14">
        <v>50</v>
      </c>
      <c r="G8" s="14">
        <v>28.95</v>
      </c>
      <c r="H8" s="14">
        <v>14.5</v>
      </c>
      <c r="I8" s="14">
        <v>31</v>
      </c>
      <c r="J8" s="14">
        <v>30.5</v>
      </c>
      <c r="K8" s="14">
        <v>27.3</v>
      </c>
      <c r="L8" s="14">
        <v>26</v>
      </c>
      <c r="M8" s="14">
        <v>51.7</v>
      </c>
      <c r="N8" s="14">
        <v>66.150000000000006</v>
      </c>
      <c r="O8" s="14">
        <v>54.55</v>
      </c>
      <c r="P8" s="14">
        <v>127.1</v>
      </c>
      <c r="Q8" s="14">
        <v>114.7</v>
      </c>
      <c r="R8" s="14">
        <v>102.3</v>
      </c>
      <c r="S8" s="14">
        <v>41.05</v>
      </c>
      <c r="T8" s="14">
        <v>112.25</v>
      </c>
      <c r="U8" s="14">
        <v>297.5</v>
      </c>
      <c r="V8" s="14">
        <v>292.7</v>
      </c>
      <c r="W8" s="14">
        <v>531.15</v>
      </c>
      <c r="X8" s="17">
        <v>711.95001220703102</v>
      </c>
    </row>
    <row r="9" spans="1:24" x14ac:dyDescent="0.2">
      <c r="A9" s="10" t="s">
        <v>1144</v>
      </c>
      <c r="B9" s="10" t="s">
        <v>105</v>
      </c>
      <c r="C9" s="14">
        <v>210</v>
      </c>
      <c r="D9" s="14">
        <v>127</v>
      </c>
      <c r="E9" s="14">
        <v>86.1</v>
      </c>
      <c r="F9" s="14">
        <v>66</v>
      </c>
      <c r="G9" s="14">
        <v>38.9</v>
      </c>
      <c r="H9" s="14">
        <v>49.5</v>
      </c>
      <c r="I9" s="14">
        <v>40.4</v>
      </c>
      <c r="J9" s="14">
        <v>33.85</v>
      </c>
      <c r="K9" s="14">
        <v>37.5</v>
      </c>
      <c r="L9" s="14">
        <v>60.85</v>
      </c>
      <c r="M9" s="14">
        <v>99</v>
      </c>
      <c r="N9" s="14">
        <v>77.849999999999994</v>
      </c>
      <c r="O9" s="14">
        <v>164.9</v>
      </c>
      <c r="P9" s="14">
        <v>152.80000000000001</v>
      </c>
      <c r="Q9" s="14">
        <v>154.55000000000001</v>
      </c>
      <c r="R9" s="14">
        <v>116.2</v>
      </c>
      <c r="S9" s="14">
        <v>135.5</v>
      </c>
      <c r="T9" s="14">
        <v>382.4</v>
      </c>
      <c r="U9" s="14">
        <v>363.8</v>
      </c>
      <c r="V9" s="14">
        <v>791.5</v>
      </c>
      <c r="W9" s="14">
        <v>740</v>
      </c>
      <c r="X9" s="17">
        <v>780</v>
      </c>
    </row>
    <row r="10" spans="1:24" x14ac:dyDescent="0.2">
      <c r="A10" s="10" t="s">
        <v>1145</v>
      </c>
      <c r="B10" s="10" t="s">
        <v>106</v>
      </c>
      <c r="C10" s="14">
        <v>89</v>
      </c>
      <c r="D10" s="14">
        <v>53.25</v>
      </c>
      <c r="E10" s="14">
        <v>37.799999999999997</v>
      </c>
      <c r="F10" s="14">
        <v>23.5</v>
      </c>
      <c r="G10" s="14">
        <v>11</v>
      </c>
      <c r="H10" s="14">
        <v>14.5</v>
      </c>
      <c r="I10" s="14">
        <v>26.3</v>
      </c>
      <c r="J10" s="14">
        <v>20.100000000000001</v>
      </c>
      <c r="K10" s="14">
        <v>25.1</v>
      </c>
      <c r="L10" s="14">
        <v>16.100000000000001</v>
      </c>
      <c r="M10" s="14">
        <v>45.4</v>
      </c>
      <c r="N10" s="14">
        <v>40.1</v>
      </c>
      <c r="O10" s="14">
        <v>50.25</v>
      </c>
      <c r="P10" s="14">
        <v>92.35</v>
      </c>
      <c r="Q10" s="14">
        <v>81.900000000000006</v>
      </c>
      <c r="R10" s="14">
        <v>27.4</v>
      </c>
      <c r="S10" s="14">
        <v>38.1</v>
      </c>
      <c r="T10" s="14">
        <v>108</v>
      </c>
      <c r="U10" s="14">
        <v>233.8</v>
      </c>
      <c r="V10" s="14">
        <v>284.89999999999998</v>
      </c>
      <c r="W10" s="14">
        <v>450</v>
      </c>
      <c r="X10" s="17">
        <v>711.95001220703102</v>
      </c>
    </row>
    <row r="11" spans="1:24" x14ac:dyDescent="0.2">
      <c r="A11" s="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21"/>
    </row>
    <row r="12" spans="1:24" x14ac:dyDescent="0.2">
      <c r="A12" s="6" t="s">
        <v>1101</v>
      </c>
      <c r="B12" s="6" t="s">
        <v>1102</v>
      </c>
      <c r="C12" s="19">
        <v>3946.2943</v>
      </c>
      <c r="D12" s="19">
        <v>2583.2307999999998</v>
      </c>
      <c r="E12" s="19">
        <v>2129.4906000000001</v>
      </c>
      <c r="F12" s="19">
        <v>1146.1790000000001</v>
      </c>
      <c r="G12" s="19">
        <v>860.14930000000004</v>
      </c>
      <c r="H12" s="19">
        <v>1827.4294</v>
      </c>
      <c r="I12" s="19">
        <v>1747.8478</v>
      </c>
      <c r="J12" s="19">
        <v>1609.3169</v>
      </c>
      <c r="K12" s="19">
        <v>1553.3150000000001</v>
      </c>
      <c r="L12" s="19">
        <v>2912.0972000000002</v>
      </c>
      <c r="M12" s="19">
        <v>3952.5529999999999</v>
      </c>
      <c r="N12" s="19">
        <v>3171.4742999999999</v>
      </c>
      <c r="O12" s="19">
        <v>7468.8810000000003</v>
      </c>
      <c r="P12" s="19">
        <v>6021.6747999999998</v>
      </c>
      <c r="Q12" s="19">
        <v>6071.7816999999995</v>
      </c>
      <c r="R12" s="19">
        <v>2419.8703</v>
      </c>
      <c r="S12" s="19">
        <v>6799.8059999999996</v>
      </c>
      <c r="T12" s="19">
        <v>17661.221399999999</v>
      </c>
      <c r="U12" s="19">
        <v>16753.401600000001</v>
      </c>
      <c r="V12" s="19">
        <v>31437.3472</v>
      </c>
      <c r="W12" s="19">
        <v>37922.659200000002</v>
      </c>
      <c r="X12" s="22">
        <v>45009.515223499999</v>
      </c>
    </row>
    <row r="13" spans="1:24" x14ac:dyDescent="0.2">
      <c r="A13" s="10" t="s">
        <v>1146</v>
      </c>
      <c r="B13" s="10" t="s">
        <v>1147</v>
      </c>
      <c r="C13" s="14">
        <v>40.594999999999999</v>
      </c>
      <c r="D13" s="14">
        <v>40.616799999999998</v>
      </c>
      <c r="E13" s="14">
        <v>40.716799999999999</v>
      </c>
      <c r="F13" s="14">
        <v>40.716999999999999</v>
      </c>
      <c r="G13" s="14">
        <v>40.764000000000003</v>
      </c>
      <c r="H13" s="14">
        <v>58.949300000000001</v>
      </c>
      <c r="I13" s="14">
        <v>58.949300000000001</v>
      </c>
      <c r="J13" s="14">
        <v>58.949300000000001</v>
      </c>
      <c r="K13" s="14">
        <v>58.949300000000001</v>
      </c>
      <c r="L13" s="14">
        <v>58.949330000000003</v>
      </c>
      <c r="M13" s="14">
        <v>58.949330000000003</v>
      </c>
      <c r="N13" s="14">
        <v>58.949330000000003</v>
      </c>
      <c r="O13" s="14">
        <v>58.949330000000003</v>
      </c>
      <c r="P13" s="14">
        <v>58.949339999999999</v>
      </c>
      <c r="Q13" s="14">
        <v>58.949339999999999</v>
      </c>
      <c r="R13" s="14">
        <v>58.949339999999999</v>
      </c>
      <c r="S13" s="14">
        <v>58.949339999999999</v>
      </c>
      <c r="T13" s="14">
        <v>58.949339999999999</v>
      </c>
      <c r="U13" s="14">
        <v>58.949339999999999</v>
      </c>
      <c r="V13" s="14">
        <v>59.00403</v>
      </c>
      <c r="W13" s="14">
        <v>59.106389999999998</v>
      </c>
      <c r="X13" s="17">
        <v>59.106389999999998</v>
      </c>
    </row>
    <row r="14" spans="1:24" x14ac:dyDescent="0.2">
      <c r="A14" s="10" t="s">
        <v>1148</v>
      </c>
      <c r="B14" s="10" t="s">
        <v>1149</v>
      </c>
      <c r="C14" s="14" t="s">
        <v>658</v>
      </c>
      <c r="D14" s="14" t="s">
        <v>658</v>
      </c>
      <c r="E14" s="14">
        <v>40.716999999999999</v>
      </c>
      <c r="F14" s="14">
        <v>40.716999999999999</v>
      </c>
      <c r="G14" s="14">
        <v>18.541</v>
      </c>
      <c r="H14" s="14">
        <v>12.826000000000001</v>
      </c>
      <c r="I14" s="14">
        <v>13.5</v>
      </c>
      <c r="J14" s="14">
        <v>10.07</v>
      </c>
      <c r="K14" s="14">
        <v>9.3670000000000009</v>
      </c>
      <c r="L14" s="14">
        <v>9.3490000000000002</v>
      </c>
      <c r="M14" s="14">
        <v>5.8710000000000004</v>
      </c>
      <c r="N14" s="14">
        <v>7.8570000000000002</v>
      </c>
      <c r="O14" s="14">
        <v>15.212999999999999</v>
      </c>
      <c r="P14" s="14">
        <v>15.159000000000001</v>
      </c>
      <c r="Q14" s="14">
        <v>12.382999999999999</v>
      </c>
      <c r="R14" s="14">
        <v>12.098000000000001</v>
      </c>
      <c r="S14" s="14">
        <v>11.894</v>
      </c>
      <c r="T14" s="14">
        <v>13.427</v>
      </c>
      <c r="U14" s="14">
        <v>13.351000000000001</v>
      </c>
      <c r="V14" s="14">
        <v>13.401999999999999</v>
      </c>
      <c r="W14" s="14">
        <v>13.504</v>
      </c>
      <c r="X14" s="17">
        <v>11.917820000000001</v>
      </c>
    </row>
    <row r="15" spans="1:24" x14ac:dyDescent="0.2">
      <c r="A15" s="7" t="s">
        <v>112</v>
      </c>
      <c r="B15" s="7"/>
      <c r="C15" s="7" t="s">
        <v>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51"/>
  <sheetViews>
    <sheetView workbookViewId="0">
      <selection activeCell="A2" sqref="A2:Z51"/>
    </sheetView>
  </sheetViews>
  <sheetFormatPr baseColWidth="10" defaultColWidth="8.83203125" defaultRowHeight="15" x14ac:dyDescent="0.2"/>
  <cols>
    <col min="1" max="1" width="35.1640625" customWidth="1"/>
    <col min="2" max="2" width="0" hidden="1" customWidth="1"/>
    <col min="3" max="26" width="11.83203125" customWidth="1"/>
  </cols>
  <sheetData>
    <row r="1" spans="1:2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" x14ac:dyDescent="0.2">
      <c r="A2" s="8" t="s">
        <v>1150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3" t="s">
        <v>6</v>
      </c>
      <c r="B4" s="3"/>
      <c r="C4" s="4" t="s">
        <v>114</v>
      </c>
      <c r="D4" s="4" t="s">
        <v>4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28</v>
      </c>
      <c r="Z4" s="4" t="s">
        <v>29</v>
      </c>
    </row>
    <row r="5" spans="1:26" x14ac:dyDescent="0.2">
      <c r="A5" s="9" t="s">
        <v>30</v>
      </c>
      <c r="B5" s="9"/>
      <c r="C5" s="5" t="s">
        <v>116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36</v>
      </c>
      <c r="J5" s="5" t="s">
        <v>37</v>
      </c>
      <c r="K5" s="5" t="s">
        <v>38</v>
      </c>
      <c r="L5" s="5" t="s">
        <v>39</v>
      </c>
      <c r="M5" s="5" t="s">
        <v>40</v>
      </c>
      <c r="N5" s="5" t="s">
        <v>41</v>
      </c>
      <c r="O5" s="5" t="s">
        <v>42</v>
      </c>
      <c r="P5" s="5" t="s">
        <v>43</v>
      </c>
      <c r="Q5" s="5" t="s">
        <v>44</v>
      </c>
      <c r="R5" s="5" t="s">
        <v>45</v>
      </c>
      <c r="S5" s="5" t="s">
        <v>46</v>
      </c>
      <c r="T5" s="5" t="s">
        <v>47</v>
      </c>
      <c r="U5" s="5" t="s">
        <v>48</v>
      </c>
      <c r="V5" s="5" t="s">
        <v>49</v>
      </c>
      <c r="W5" s="5" t="s">
        <v>50</v>
      </c>
      <c r="X5" s="5" t="s">
        <v>51</v>
      </c>
      <c r="Y5" s="5" t="s">
        <v>53</v>
      </c>
      <c r="Z5" s="5" t="s">
        <v>54</v>
      </c>
    </row>
    <row r="6" spans="1:26" x14ac:dyDescent="0.2">
      <c r="A6" s="6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">
      <c r="A7" s="10" t="s">
        <v>1151</v>
      </c>
      <c r="B7" s="10" t="s">
        <v>1152</v>
      </c>
      <c r="C7" s="13" t="s">
        <v>658</v>
      </c>
      <c r="D7" s="13" t="s">
        <v>658</v>
      </c>
      <c r="E7" s="13">
        <v>1848.5</v>
      </c>
      <c r="F7" s="13" t="s">
        <v>658</v>
      </c>
      <c r="G7" s="13" t="s">
        <v>658</v>
      </c>
      <c r="H7" s="13" t="s">
        <v>658</v>
      </c>
      <c r="I7" s="13" t="s">
        <v>658</v>
      </c>
      <c r="J7" s="13" t="s">
        <v>658</v>
      </c>
      <c r="K7" s="13" t="s">
        <v>658</v>
      </c>
      <c r="L7" s="13" t="s">
        <v>658</v>
      </c>
      <c r="M7" s="13" t="s">
        <v>658</v>
      </c>
      <c r="N7" s="13" t="s">
        <v>658</v>
      </c>
      <c r="O7" s="13" t="s">
        <v>658</v>
      </c>
      <c r="P7" s="13" t="s">
        <v>658</v>
      </c>
      <c r="Q7" s="13">
        <v>9244</v>
      </c>
      <c r="R7" s="13" t="s">
        <v>658</v>
      </c>
      <c r="S7" s="13" t="s">
        <v>658</v>
      </c>
      <c r="T7" s="13" t="s">
        <v>658</v>
      </c>
      <c r="U7" s="13" t="s">
        <v>658</v>
      </c>
      <c r="V7" s="13">
        <v>14299</v>
      </c>
      <c r="W7" s="13">
        <v>15486</v>
      </c>
      <c r="X7" s="13" t="s">
        <v>658</v>
      </c>
      <c r="Y7" s="13">
        <v>20021</v>
      </c>
      <c r="Z7" s="13">
        <v>21867</v>
      </c>
    </row>
    <row r="8" spans="1:26" x14ac:dyDescent="0.2">
      <c r="A8" s="10" t="s">
        <v>1153</v>
      </c>
      <c r="B8" s="10" t="s">
        <v>1154</v>
      </c>
      <c r="C8" s="13" t="s">
        <v>658</v>
      </c>
      <c r="D8" s="13">
        <v>1498.1790000000001</v>
      </c>
      <c r="E8" s="13">
        <v>1392.4860000000001</v>
      </c>
      <c r="F8" s="13" t="s">
        <v>658</v>
      </c>
      <c r="G8" s="13">
        <v>1443.87</v>
      </c>
      <c r="H8" s="13">
        <v>3001.47</v>
      </c>
      <c r="I8" s="13">
        <v>2623.8101000000001</v>
      </c>
      <c r="J8" s="13">
        <v>2753.23</v>
      </c>
      <c r="K8" s="13">
        <v>4418.92</v>
      </c>
      <c r="L8" s="13">
        <v>5500.04</v>
      </c>
      <c r="M8" s="13">
        <v>7338.06</v>
      </c>
      <c r="N8" s="13">
        <v>8279.9500000000007</v>
      </c>
      <c r="O8" s="13">
        <v>8161.78</v>
      </c>
      <c r="P8" s="13">
        <v>8671.24</v>
      </c>
      <c r="Q8" s="13">
        <v>9102.69</v>
      </c>
      <c r="R8" s="13">
        <v>11334.9</v>
      </c>
      <c r="S8" s="13">
        <v>12033.24</v>
      </c>
      <c r="T8" s="13">
        <v>1149.0530000000001</v>
      </c>
      <c r="U8" s="13">
        <v>12010.47</v>
      </c>
      <c r="V8" s="13">
        <v>14591.9</v>
      </c>
      <c r="W8" s="13">
        <v>15498.9</v>
      </c>
      <c r="X8" s="13">
        <v>17233.599999999999</v>
      </c>
      <c r="Y8" s="13"/>
      <c r="Z8" s="13"/>
    </row>
    <row r="9" spans="1:26" x14ac:dyDescent="0.2">
      <c r="A9" s="11" t="s">
        <v>1155</v>
      </c>
      <c r="B9" s="11"/>
      <c r="C9" s="25" t="s">
        <v>658</v>
      </c>
      <c r="D9" s="25" t="s">
        <v>658</v>
      </c>
      <c r="E9" s="25">
        <v>-24.669409683527199</v>
      </c>
      <c r="F9" s="25" t="s">
        <v>658</v>
      </c>
      <c r="G9" s="25" t="s">
        <v>658</v>
      </c>
      <c r="H9" s="25" t="s">
        <v>658</v>
      </c>
      <c r="I9" s="25" t="s">
        <v>658</v>
      </c>
      <c r="J9" s="25" t="s">
        <v>658</v>
      </c>
      <c r="K9" s="25" t="s">
        <v>658</v>
      </c>
      <c r="L9" s="25" t="s">
        <v>658</v>
      </c>
      <c r="M9" s="25" t="s">
        <v>658</v>
      </c>
      <c r="N9" s="25" t="s">
        <v>658</v>
      </c>
      <c r="O9" s="25" t="s">
        <v>658</v>
      </c>
      <c r="P9" s="25" t="s">
        <v>658</v>
      </c>
      <c r="Q9" s="25">
        <v>-1.52866724361748</v>
      </c>
      <c r="R9" s="25" t="s">
        <v>658</v>
      </c>
      <c r="S9" s="25" t="s">
        <v>658</v>
      </c>
      <c r="T9" s="25" t="s">
        <v>658</v>
      </c>
      <c r="U9" s="25" t="s">
        <v>658</v>
      </c>
      <c r="V9" s="25">
        <v>2.0483949926568301</v>
      </c>
      <c r="W9" s="25">
        <v>8.33010461061581E-2</v>
      </c>
      <c r="X9" s="25" t="s">
        <v>658</v>
      </c>
      <c r="Y9" s="25"/>
      <c r="Z9" s="25"/>
    </row>
    <row r="10" spans="1:26" x14ac:dyDescent="0.2">
      <c r="A10" s="10" t="s">
        <v>1156</v>
      </c>
      <c r="B10" s="10" t="s">
        <v>118</v>
      </c>
      <c r="C10" s="13">
        <v>1031.0623000000001</v>
      </c>
      <c r="D10" s="13">
        <v>1498.1786</v>
      </c>
      <c r="E10" s="13">
        <v>1392.4862000000001</v>
      </c>
      <c r="F10" s="13">
        <v>1486.7352000000001</v>
      </c>
      <c r="G10" s="13">
        <v>1443.8706999999999</v>
      </c>
      <c r="H10" s="13">
        <v>3001.4675000000002</v>
      </c>
      <c r="I10" s="13">
        <v>2527.5346</v>
      </c>
      <c r="J10" s="13">
        <v>2753.2278999999999</v>
      </c>
      <c r="K10" s="13">
        <v>4418.9156999999996</v>
      </c>
      <c r="L10" s="13">
        <v>5500.0391</v>
      </c>
      <c r="M10" s="13">
        <v>7338.0617000000002</v>
      </c>
      <c r="N10" s="13">
        <v>8279.9478999999992</v>
      </c>
      <c r="O10" s="13">
        <v>8161.78</v>
      </c>
      <c r="P10" s="13">
        <v>8671.24</v>
      </c>
      <c r="Q10" s="13">
        <v>9102.69</v>
      </c>
      <c r="R10" s="13">
        <v>11334.9</v>
      </c>
      <c r="S10" s="13">
        <v>12033.24</v>
      </c>
      <c r="T10" s="13">
        <v>11490.53</v>
      </c>
      <c r="U10" s="13">
        <v>12010.47</v>
      </c>
      <c r="V10" s="13">
        <v>14591.9</v>
      </c>
      <c r="W10" s="13">
        <v>15498.9</v>
      </c>
      <c r="X10" s="13">
        <v>17233.599999999999</v>
      </c>
      <c r="Y10" s="13"/>
      <c r="Z10" s="13"/>
    </row>
    <row r="11" spans="1:26" x14ac:dyDescent="0.2">
      <c r="A11" s="10" t="s">
        <v>1157</v>
      </c>
      <c r="B11" s="10" t="s">
        <v>118</v>
      </c>
      <c r="C11" s="13">
        <v>1031.0623000000001</v>
      </c>
      <c r="D11" s="13">
        <v>1498.1786</v>
      </c>
      <c r="E11" s="13">
        <v>1392.4862000000001</v>
      </c>
      <c r="F11" s="13">
        <v>1486.7352000000001</v>
      </c>
      <c r="G11" s="13">
        <v>1443.8706999999999</v>
      </c>
      <c r="H11" s="13">
        <v>3001.4675000000002</v>
      </c>
      <c r="I11" s="13">
        <v>2527.5346</v>
      </c>
      <c r="J11" s="13">
        <v>2753.2278999999999</v>
      </c>
      <c r="K11" s="13">
        <v>4418.9156999999996</v>
      </c>
      <c r="L11" s="13">
        <v>5500.0391</v>
      </c>
      <c r="M11" s="13">
        <v>7338.0617000000002</v>
      </c>
      <c r="N11" s="13">
        <v>8279.9478999999992</v>
      </c>
      <c r="O11" s="13">
        <v>8161.78</v>
      </c>
      <c r="P11" s="13">
        <v>8671.24</v>
      </c>
      <c r="Q11" s="13">
        <v>9102.69</v>
      </c>
      <c r="R11" s="13">
        <v>11334.9</v>
      </c>
      <c r="S11" s="13">
        <v>12033.24</v>
      </c>
      <c r="T11" s="13">
        <v>11490.53</v>
      </c>
      <c r="U11" s="13">
        <v>12010.47</v>
      </c>
      <c r="V11" s="13">
        <v>14591.9</v>
      </c>
      <c r="W11" s="13">
        <v>15498.9</v>
      </c>
      <c r="X11" s="13">
        <v>17233.599999999999</v>
      </c>
      <c r="Y11" s="13"/>
      <c r="Z11" s="13"/>
    </row>
    <row r="12" spans="1:26" x14ac:dyDescent="0.2">
      <c r="A12" s="10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x14ac:dyDescent="0.2">
      <c r="A13" s="6" t="s">
        <v>1158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x14ac:dyDescent="0.2">
      <c r="A14" s="10" t="s">
        <v>1151</v>
      </c>
      <c r="B14" s="10" t="s">
        <v>1159</v>
      </c>
      <c r="C14" s="14" t="s">
        <v>658</v>
      </c>
      <c r="D14" s="14" t="s">
        <v>658</v>
      </c>
      <c r="E14" s="14">
        <v>7.8</v>
      </c>
      <c r="F14" s="14" t="s">
        <v>658</v>
      </c>
      <c r="G14" s="14" t="s">
        <v>658</v>
      </c>
      <c r="H14" s="14" t="s">
        <v>658</v>
      </c>
      <c r="I14" s="14" t="s">
        <v>658</v>
      </c>
      <c r="J14" s="14" t="s">
        <v>658</v>
      </c>
      <c r="K14" s="14" t="s">
        <v>658</v>
      </c>
      <c r="L14" s="14" t="s">
        <v>658</v>
      </c>
      <c r="M14" s="14" t="s">
        <v>658</v>
      </c>
      <c r="N14" s="14" t="s">
        <v>658</v>
      </c>
      <c r="O14" s="14" t="s">
        <v>658</v>
      </c>
      <c r="P14" s="14" t="s">
        <v>658</v>
      </c>
      <c r="Q14" s="14">
        <v>13.03</v>
      </c>
      <c r="R14" s="14" t="s">
        <v>658</v>
      </c>
      <c r="S14" s="14" t="s">
        <v>658</v>
      </c>
      <c r="T14" s="14" t="s">
        <v>658</v>
      </c>
      <c r="U14" s="14" t="s">
        <v>658</v>
      </c>
      <c r="V14" s="14">
        <v>31.2</v>
      </c>
      <c r="W14" s="14">
        <v>36.299999999999997</v>
      </c>
      <c r="X14" s="14" t="s">
        <v>658</v>
      </c>
      <c r="Y14" s="14">
        <v>42.2</v>
      </c>
      <c r="Z14" s="14">
        <v>48.2</v>
      </c>
    </row>
    <row r="15" spans="1:26" x14ac:dyDescent="0.2">
      <c r="A15" s="10" t="s">
        <v>1153</v>
      </c>
      <c r="B15" s="10" t="s">
        <v>1160</v>
      </c>
      <c r="C15" s="14" t="s">
        <v>658</v>
      </c>
      <c r="D15" s="14">
        <v>6.0145</v>
      </c>
      <c r="E15" s="14">
        <v>5.0892999999999997</v>
      </c>
      <c r="F15" s="14" t="s">
        <v>658</v>
      </c>
      <c r="G15" s="14">
        <v>2.2599999999999998</v>
      </c>
      <c r="H15" s="14">
        <v>4.32</v>
      </c>
      <c r="I15" s="14">
        <v>3.77</v>
      </c>
      <c r="J15" s="14">
        <v>3.53</v>
      </c>
      <c r="K15" s="14">
        <v>4.53</v>
      </c>
      <c r="L15" s="14">
        <v>4.66</v>
      </c>
      <c r="M15" s="14">
        <v>8.26</v>
      </c>
      <c r="N15" s="14">
        <v>7.33</v>
      </c>
      <c r="O15" s="14">
        <v>7.6050000000000004</v>
      </c>
      <c r="P15" s="14">
        <v>12.07</v>
      </c>
      <c r="Q15" s="14">
        <v>10.871</v>
      </c>
      <c r="R15" s="14">
        <v>12.638999999999999</v>
      </c>
      <c r="S15" s="14">
        <v>10.83</v>
      </c>
      <c r="T15" s="14">
        <v>13.528</v>
      </c>
      <c r="U15" s="14">
        <v>27.744</v>
      </c>
      <c r="V15" s="14">
        <v>32.046999999999997</v>
      </c>
      <c r="W15" s="14">
        <v>33.6</v>
      </c>
      <c r="X15" s="14">
        <v>34.71</v>
      </c>
      <c r="Y15" s="14"/>
      <c r="Z15" s="14"/>
    </row>
    <row r="16" spans="1:26" x14ac:dyDescent="0.2">
      <c r="A16" s="11" t="s">
        <v>1161</v>
      </c>
      <c r="B16" s="11"/>
      <c r="C16" s="25" t="s">
        <v>658</v>
      </c>
      <c r="D16" s="25" t="s">
        <v>658</v>
      </c>
      <c r="E16" s="25">
        <v>-34.752192307692297</v>
      </c>
      <c r="F16" s="25" t="s">
        <v>658</v>
      </c>
      <c r="G16" s="25" t="s">
        <v>658</v>
      </c>
      <c r="H16" s="25" t="s">
        <v>658</v>
      </c>
      <c r="I16" s="25" t="s">
        <v>658</v>
      </c>
      <c r="J16" s="25" t="s">
        <v>658</v>
      </c>
      <c r="K16" s="25" t="s">
        <v>658</v>
      </c>
      <c r="L16" s="25" t="s">
        <v>658</v>
      </c>
      <c r="M16" s="25" t="s">
        <v>658</v>
      </c>
      <c r="N16" s="25" t="s">
        <v>658</v>
      </c>
      <c r="O16" s="25" t="s">
        <v>658</v>
      </c>
      <c r="P16" s="25" t="s">
        <v>658</v>
      </c>
      <c r="Q16" s="25">
        <v>-16.569455103607101</v>
      </c>
      <c r="R16" s="25" t="s">
        <v>658</v>
      </c>
      <c r="S16" s="25" t="s">
        <v>658</v>
      </c>
      <c r="T16" s="25" t="s">
        <v>658</v>
      </c>
      <c r="U16" s="25" t="s">
        <v>658</v>
      </c>
      <c r="V16" s="25">
        <v>2.7147435897435801</v>
      </c>
      <c r="W16" s="25">
        <v>-7.4380165289256102</v>
      </c>
      <c r="X16" s="25" t="s">
        <v>658</v>
      </c>
      <c r="Y16" s="25"/>
      <c r="Z16" s="25"/>
    </row>
    <row r="17" spans="1:26" x14ac:dyDescent="0.2">
      <c r="A17" s="10" t="s">
        <v>1156</v>
      </c>
      <c r="B17" s="10" t="s">
        <v>197</v>
      </c>
      <c r="C17" s="14">
        <v>9.0289000000000001</v>
      </c>
      <c r="D17" s="14">
        <v>5.9737999999999998</v>
      </c>
      <c r="E17" s="14">
        <v>5.0744999999999996</v>
      </c>
      <c r="F17" s="14">
        <v>3.1978</v>
      </c>
      <c r="G17" s="14">
        <v>2.2437999999999998</v>
      </c>
      <c r="H17" s="14">
        <v>4.3113999999999999</v>
      </c>
      <c r="I17" s="14">
        <v>3.7610999999999999</v>
      </c>
      <c r="J17" s="14">
        <v>3.45</v>
      </c>
      <c r="K17" s="14">
        <v>4.38</v>
      </c>
      <c r="L17" s="14">
        <v>4.4000000000000004</v>
      </c>
      <c r="M17" s="14">
        <v>8.1199999999999992</v>
      </c>
      <c r="N17" s="14">
        <v>7.3</v>
      </c>
      <c r="O17" s="14">
        <v>7.45</v>
      </c>
      <c r="P17" s="14">
        <v>15.24</v>
      </c>
      <c r="Q17" s="14">
        <v>10.87</v>
      </c>
      <c r="R17" s="14">
        <v>12.53</v>
      </c>
      <c r="S17" s="14">
        <v>10.81</v>
      </c>
      <c r="T17" s="14">
        <v>13.53</v>
      </c>
      <c r="U17" s="14">
        <v>26.71</v>
      </c>
      <c r="V17" s="14">
        <v>32.049999999999997</v>
      </c>
      <c r="W17" s="14">
        <v>33.6</v>
      </c>
      <c r="X17" s="14">
        <v>34.71</v>
      </c>
      <c r="Y17" s="14"/>
      <c r="Z17" s="14"/>
    </row>
    <row r="18" spans="1:26" x14ac:dyDescent="0.2">
      <c r="A18" s="10" t="s">
        <v>1157</v>
      </c>
      <c r="B18" s="10" t="s">
        <v>201</v>
      </c>
      <c r="C18" s="14" t="s">
        <v>658</v>
      </c>
      <c r="D18" s="14" t="s">
        <v>658</v>
      </c>
      <c r="E18" s="14">
        <v>5.0744999999999996</v>
      </c>
      <c r="F18" s="14">
        <v>3.1978</v>
      </c>
      <c r="G18" s="14">
        <v>2.2437999999999998</v>
      </c>
      <c r="H18" s="14">
        <v>4.3113999999999999</v>
      </c>
      <c r="I18" s="14">
        <v>3.7610999999999999</v>
      </c>
      <c r="J18" s="14">
        <v>3.45</v>
      </c>
      <c r="K18" s="14">
        <v>4.38</v>
      </c>
      <c r="L18" s="14">
        <v>4.4000000000000004</v>
      </c>
      <c r="M18" s="14">
        <v>8.1199999999999992</v>
      </c>
      <c r="N18" s="14">
        <v>7.3</v>
      </c>
      <c r="O18" s="14">
        <v>6.5575000000000001</v>
      </c>
      <c r="P18" s="14">
        <v>12.2151</v>
      </c>
      <c r="Q18" s="14">
        <v>10.429600000000001</v>
      </c>
      <c r="R18" s="14">
        <v>12.4329</v>
      </c>
      <c r="S18" s="14">
        <v>12.360300000000001</v>
      </c>
      <c r="T18" s="14">
        <v>12.2378</v>
      </c>
      <c r="U18" s="14">
        <v>25.060400000000001</v>
      </c>
      <c r="V18" s="14">
        <v>30.806100000000001</v>
      </c>
      <c r="W18" s="14">
        <v>30.636800000000001</v>
      </c>
      <c r="X18" s="14">
        <v>33.012799999999999</v>
      </c>
      <c r="Y18" s="14"/>
      <c r="Z18" s="14"/>
    </row>
    <row r="19" spans="1:26" x14ac:dyDescent="0.2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x14ac:dyDescent="0.2">
      <c r="A20" s="6" t="s">
        <v>209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x14ac:dyDescent="0.2">
      <c r="A21" s="10" t="s">
        <v>1151</v>
      </c>
      <c r="B21" s="10" t="s">
        <v>1162</v>
      </c>
      <c r="C21" s="13" t="s">
        <v>658</v>
      </c>
      <c r="D21" s="13" t="s">
        <v>658</v>
      </c>
      <c r="E21" s="13" t="s">
        <v>658</v>
      </c>
      <c r="F21" s="13" t="s">
        <v>658</v>
      </c>
      <c r="G21" s="13" t="s">
        <v>658</v>
      </c>
      <c r="H21" s="13" t="s">
        <v>658</v>
      </c>
      <c r="I21" s="13" t="s">
        <v>658</v>
      </c>
      <c r="J21" s="13" t="s">
        <v>658</v>
      </c>
      <c r="K21" s="13" t="s">
        <v>658</v>
      </c>
      <c r="L21" s="13" t="s">
        <v>658</v>
      </c>
      <c r="M21" s="13" t="s">
        <v>658</v>
      </c>
      <c r="N21" s="13" t="s">
        <v>658</v>
      </c>
      <c r="O21" s="13" t="s">
        <v>658</v>
      </c>
      <c r="P21" s="13" t="s">
        <v>658</v>
      </c>
      <c r="Q21" s="13" t="s">
        <v>658</v>
      </c>
      <c r="R21" s="13" t="s">
        <v>658</v>
      </c>
      <c r="S21" s="13" t="s">
        <v>658</v>
      </c>
      <c r="T21" s="13" t="s">
        <v>658</v>
      </c>
      <c r="U21" s="13" t="s">
        <v>658</v>
      </c>
      <c r="V21" s="13">
        <v>1892</v>
      </c>
      <c r="W21" s="13">
        <v>2280</v>
      </c>
      <c r="X21" s="13" t="s">
        <v>658</v>
      </c>
      <c r="Y21" s="13">
        <v>2721</v>
      </c>
      <c r="Z21" s="13">
        <v>3072</v>
      </c>
    </row>
    <row r="22" spans="1:26" x14ac:dyDescent="0.2">
      <c r="A22" s="10" t="s">
        <v>1153</v>
      </c>
      <c r="B22" s="10" t="s">
        <v>1163</v>
      </c>
      <c r="C22" s="13" t="s">
        <v>658</v>
      </c>
      <c r="D22" s="13" t="s">
        <v>658</v>
      </c>
      <c r="E22" s="13" t="s">
        <v>658</v>
      </c>
      <c r="F22" s="13" t="s">
        <v>658</v>
      </c>
      <c r="G22" s="13" t="s">
        <v>658</v>
      </c>
      <c r="H22" s="13" t="s">
        <v>658</v>
      </c>
      <c r="I22" s="13" t="s">
        <v>658</v>
      </c>
      <c r="J22" s="13" t="s">
        <v>658</v>
      </c>
      <c r="K22" s="13" t="s">
        <v>658</v>
      </c>
      <c r="L22" s="13" t="s">
        <v>658</v>
      </c>
      <c r="M22" s="13" t="s">
        <v>658</v>
      </c>
      <c r="N22" s="13" t="s">
        <v>658</v>
      </c>
      <c r="O22" s="13" t="s">
        <v>658</v>
      </c>
      <c r="P22" s="13" t="s">
        <v>658</v>
      </c>
      <c r="Q22" s="13" t="s">
        <v>658</v>
      </c>
      <c r="R22" s="13" t="s">
        <v>658</v>
      </c>
      <c r="S22" s="13" t="s">
        <v>658</v>
      </c>
      <c r="T22" s="13" t="s">
        <v>658</v>
      </c>
      <c r="U22" s="13" t="s">
        <v>658</v>
      </c>
      <c r="V22" s="13" t="s">
        <v>658</v>
      </c>
      <c r="W22" s="13">
        <v>2077.1999999999998</v>
      </c>
      <c r="X22" s="13">
        <v>1812.2</v>
      </c>
      <c r="Y22" s="13"/>
      <c r="Z22" s="13"/>
    </row>
    <row r="23" spans="1:26" x14ac:dyDescent="0.2">
      <c r="A23" s="11" t="s">
        <v>1164</v>
      </c>
      <c r="B23" s="11"/>
      <c r="C23" s="25" t="s">
        <v>658</v>
      </c>
      <c r="D23" s="25" t="s">
        <v>658</v>
      </c>
      <c r="E23" s="25" t="s">
        <v>658</v>
      </c>
      <c r="F23" s="25" t="s">
        <v>658</v>
      </c>
      <c r="G23" s="25" t="s">
        <v>658</v>
      </c>
      <c r="H23" s="25" t="s">
        <v>658</v>
      </c>
      <c r="I23" s="25" t="s">
        <v>658</v>
      </c>
      <c r="J23" s="25" t="s">
        <v>658</v>
      </c>
      <c r="K23" s="25" t="s">
        <v>658</v>
      </c>
      <c r="L23" s="25" t="s">
        <v>658</v>
      </c>
      <c r="M23" s="25" t="s">
        <v>658</v>
      </c>
      <c r="N23" s="25" t="s">
        <v>658</v>
      </c>
      <c r="O23" s="25" t="s">
        <v>658</v>
      </c>
      <c r="P23" s="25" t="s">
        <v>658</v>
      </c>
      <c r="Q23" s="25" t="s">
        <v>658</v>
      </c>
      <c r="R23" s="25" t="s">
        <v>658</v>
      </c>
      <c r="S23" s="25" t="s">
        <v>658</v>
      </c>
      <c r="T23" s="25" t="s">
        <v>658</v>
      </c>
      <c r="U23" s="25" t="s">
        <v>658</v>
      </c>
      <c r="V23" s="25" t="s">
        <v>658</v>
      </c>
      <c r="W23" s="25">
        <v>-8.8947368421052708</v>
      </c>
      <c r="X23" s="25" t="s">
        <v>658</v>
      </c>
      <c r="Y23" s="25"/>
      <c r="Z23" s="25"/>
    </row>
    <row r="24" spans="1:26" x14ac:dyDescent="0.2">
      <c r="A24" s="10" t="s">
        <v>1156</v>
      </c>
      <c r="B24" s="10" t="s">
        <v>209</v>
      </c>
      <c r="C24" s="13">
        <v>262.91609999999997</v>
      </c>
      <c r="D24" s="13">
        <v>204.88740000000001</v>
      </c>
      <c r="E24" s="13">
        <v>162.45099999999999</v>
      </c>
      <c r="F24" s="13">
        <v>87.613299999999995</v>
      </c>
      <c r="G24" s="13">
        <v>44.488399999999999</v>
      </c>
      <c r="H24" s="13">
        <v>239.28909999999999</v>
      </c>
      <c r="I24" s="13">
        <v>44.124899999999997</v>
      </c>
      <c r="J24" s="13">
        <v>64.222399999999993</v>
      </c>
      <c r="K24" s="13">
        <v>291.47160000000002</v>
      </c>
      <c r="L24" s="13">
        <v>394.44619999999998</v>
      </c>
      <c r="M24" s="13">
        <v>748.79700000000003</v>
      </c>
      <c r="N24" s="13">
        <v>653.15750000000003</v>
      </c>
      <c r="O24" s="13">
        <v>488.09</v>
      </c>
      <c r="P24" s="13">
        <v>535.07000000000005</v>
      </c>
      <c r="Q24" s="13">
        <v>617.01</v>
      </c>
      <c r="R24" s="13">
        <v>1078.1199999999999</v>
      </c>
      <c r="S24" s="13">
        <v>865.76</v>
      </c>
      <c r="T24" s="13">
        <v>1027.6099999999999</v>
      </c>
      <c r="U24" s="13">
        <v>1599.7</v>
      </c>
      <c r="V24" s="13">
        <v>2076.1</v>
      </c>
      <c r="W24" s="13">
        <v>2077.1999999999998</v>
      </c>
      <c r="X24" s="13">
        <v>1812.2</v>
      </c>
      <c r="Y24" s="13"/>
      <c r="Z24" s="13"/>
    </row>
    <row r="25" spans="1:26" x14ac:dyDescent="0.2">
      <c r="A25" s="10" t="s">
        <v>1157</v>
      </c>
      <c r="B25" s="10" t="s">
        <v>209</v>
      </c>
      <c r="C25" s="13">
        <v>262.91609999999997</v>
      </c>
      <c r="D25" s="13">
        <v>204.88740000000001</v>
      </c>
      <c r="E25" s="13">
        <v>162.45099999999999</v>
      </c>
      <c r="F25" s="13">
        <v>87.613299999999995</v>
      </c>
      <c r="G25" s="13">
        <v>44.488399999999999</v>
      </c>
      <c r="H25" s="13">
        <v>239.28909999999999</v>
      </c>
      <c r="I25" s="13">
        <v>44.124899999999997</v>
      </c>
      <c r="J25" s="13">
        <v>64.222399999999993</v>
      </c>
      <c r="K25" s="13">
        <v>291.47160000000002</v>
      </c>
      <c r="L25" s="13">
        <v>394.44619999999998</v>
      </c>
      <c r="M25" s="13">
        <v>748.79700000000003</v>
      </c>
      <c r="N25" s="13">
        <v>653.15750000000003</v>
      </c>
      <c r="O25" s="13">
        <v>488.09</v>
      </c>
      <c r="P25" s="13">
        <v>547.24</v>
      </c>
      <c r="Q25" s="13">
        <v>617.01</v>
      </c>
      <c r="R25" s="13">
        <v>1079.02</v>
      </c>
      <c r="S25" s="13">
        <v>1023.48</v>
      </c>
      <c r="T25" s="13">
        <v>941.18</v>
      </c>
      <c r="U25" s="13">
        <v>1600.23</v>
      </c>
      <c r="V25" s="13">
        <v>2076.1</v>
      </c>
      <c r="W25" s="13">
        <v>2077.1999999999998</v>
      </c>
      <c r="X25" s="13">
        <v>1812.2</v>
      </c>
      <c r="Y25" s="13"/>
      <c r="Z25" s="13"/>
    </row>
    <row r="26" spans="1:26" x14ac:dyDescent="0.2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x14ac:dyDescent="0.2">
      <c r="A27" s="6" t="s">
        <v>205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x14ac:dyDescent="0.2">
      <c r="A28" s="10" t="s">
        <v>1151</v>
      </c>
      <c r="B28" s="10" t="s">
        <v>1165</v>
      </c>
      <c r="C28" s="13" t="s">
        <v>658</v>
      </c>
      <c r="D28" s="13" t="s">
        <v>658</v>
      </c>
      <c r="E28" s="13">
        <v>319.5</v>
      </c>
      <c r="F28" s="13" t="s">
        <v>658</v>
      </c>
      <c r="G28" s="13" t="s">
        <v>658</v>
      </c>
      <c r="H28" s="13" t="s">
        <v>658</v>
      </c>
      <c r="I28" s="13" t="s">
        <v>658</v>
      </c>
      <c r="J28" s="13" t="s">
        <v>658</v>
      </c>
      <c r="K28" s="13" t="s">
        <v>658</v>
      </c>
      <c r="L28" s="13" t="s">
        <v>658</v>
      </c>
      <c r="M28" s="13" t="s">
        <v>658</v>
      </c>
      <c r="N28" s="13" t="s">
        <v>658</v>
      </c>
      <c r="O28" s="13" t="s">
        <v>658</v>
      </c>
      <c r="P28" s="13" t="s">
        <v>658</v>
      </c>
      <c r="Q28" s="13">
        <v>1154</v>
      </c>
      <c r="R28" s="13" t="s">
        <v>658</v>
      </c>
      <c r="S28" s="13" t="s">
        <v>658</v>
      </c>
      <c r="T28" s="13" t="s">
        <v>658</v>
      </c>
      <c r="U28" s="13" t="s">
        <v>658</v>
      </c>
      <c r="V28" s="13">
        <v>2219</v>
      </c>
      <c r="W28" s="13">
        <v>2653</v>
      </c>
      <c r="X28" s="13" t="s">
        <v>658</v>
      </c>
      <c r="Y28" s="13">
        <v>3517</v>
      </c>
      <c r="Z28" s="13">
        <v>3891</v>
      </c>
    </row>
    <row r="29" spans="1:26" x14ac:dyDescent="0.2">
      <c r="A29" s="10" t="s">
        <v>1153</v>
      </c>
      <c r="B29" s="10" t="s">
        <v>1166</v>
      </c>
      <c r="C29" s="13" t="s">
        <v>658</v>
      </c>
      <c r="D29" s="13" t="s">
        <v>658</v>
      </c>
      <c r="E29" s="13" t="s">
        <v>658</v>
      </c>
      <c r="F29" s="13" t="s">
        <v>658</v>
      </c>
      <c r="G29" s="13" t="s">
        <v>658</v>
      </c>
      <c r="H29" s="13" t="s">
        <v>658</v>
      </c>
      <c r="I29" s="13" t="s">
        <v>658</v>
      </c>
      <c r="J29" s="13" t="s">
        <v>658</v>
      </c>
      <c r="K29" s="13" t="s">
        <v>658</v>
      </c>
      <c r="L29" s="13" t="s">
        <v>658</v>
      </c>
      <c r="M29" s="13" t="s">
        <v>658</v>
      </c>
      <c r="N29" s="13" t="s">
        <v>658</v>
      </c>
      <c r="O29" s="13" t="s">
        <v>658</v>
      </c>
      <c r="P29" s="13" t="s">
        <v>658</v>
      </c>
      <c r="Q29" s="13" t="s">
        <v>658</v>
      </c>
      <c r="R29" s="13" t="s">
        <v>658</v>
      </c>
      <c r="S29" s="13" t="s">
        <v>658</v>
      </c>
      <c r="T29" s="13" t="s">
        <v>658</v>
      </c>
      <c r="U29" s="13" t="s">
        <v>658</v>
      </c>
      <c r="V29" s="13" t="s">
        <v>658</v>
      </c>
      <c r="W29" s="13">
        <v>2439.8000000000002</v>
      </c>
      <c r="X29" s="13">
        <v>2292.6</v>
      </c>
      <c r="Y29" s="13"/>
      <c r="Z29" s="13"/>
    </row>
    <row r="30" spans="1:26" x14ac:dyDescent="0.2">
      <c r="A30" s="11" t="s">
        <v>1167</v>
      </c>
      <c r="B30" s="11"/>
      <c r="C30" s="25" t="s">
        <v>658</v>
      </c>
      <c r="D30" s="25" t="s">
        <v>658</v>
      </c>
      <c r="E30" s="25" t="s">
        <v>658</v>
      </c>
      <c r="F30" s="25" t="s">
        <v>658</v>
      </c>
      <c r="G30" s="25" t="s">
        <v>658</v>
      </c>
      <c r="H30" s="25" t="s">
        <v>658</v>
      </c>
      <c r="I30" s="25" t="s">
        <v>658</v>
      </c>
      <c r="J30" s="25" t="s">
        <v>658</v>
      </c>
      <c r="K30" s="25" t="s">
        <v>658</v>
      </c>
      <c r="L30" s="25" t="s">
        <v>658</v>
      </c>
      <c r="M30" s="25" t="s">
        <v>658</v>
      </c>
      <c r="N30" s="25" t="s">
        <v>658</v>
      </c>
      <c r="O30" s="25" t="s">
        <v>658</v>
      </c>
      <c r="P30" s="25" t="s">
        <v>658</v>
      </c>
      <c r="Q30" s="25" t="s">
        <v>658</v>
      </c>
      <c r="R30" s="25" t="s">
        <v>658</v>
      </c>
      <c r="S30" s="25" t="s">
        <v>658</v>
      </c>
      <c r="T30" s="25" t="s">
        <v>658</v>
      </c>
      <c r="U30" s="25" t="s">
        <v>658</v>
      </c>
      <c r="V30" s="25" t="s">
        <v>658</v>
      </c>
      <c r="W30" s="25">
        <v>-8.0361854504334609</v>
      </c>
      <c r="X30" s="25" t="s">
        <v>658</v>
      </c>
      <c r="Y30" s="25"/>
      <c r="Z30" s="25"/>
    </row>
    <row r="31" spans="1:26" x14ac:dyDescent="0.2">
      <c r="A31" s="10" t="s">
        <v>1156</v>
      </c>
      <c r="B31" s="10" t="s">
        <v>205</v>
      </c>
      <c r="C31" s="13">
        <v>292.1628</v>
      </c>
      <c r="D31" s="13">
        <v>238.89240000000001</v>
      </c>
      <c r="E31" s="13">
        <v>204.46960000000001</v>
      </c>
      <c r="F31" s="13">
        <v>141.06700000000001</v>
      </c>
      <c r="G31" s="13">
        <v>99.858599999999996</v>
      </c>
      <c r="H31" s="13">
        <v>325.52179999999998</v>
      </c>
      <c r="I31" s="13">
        <v>124.14919999999999</v>
      </c>
      <c r="J31" s="13">
        <v>153.92590000000001</v>
      </c>
      <c r="K31" s="13">
        <v>406.80259999999998</v>
      </c>
      <c r="L31" s="13">
        <v>514.72900000000004</v>
      </c>
      <c r="M31" s="13">
        <v>909.44079999999997</v>
      </c>
      <c r="N31" s="13">
        <v>863.0163</v>
      </c>
      <c r="O31" s="13">
        <v>757.37</v>
      </c>
      <c r="P31" s="13">
        <v>808.44</v>
      </c>
      <c r="Q31" s="13">
        <v>820.31</v>
      </c>
      <c r="R31" s="13">
        <v>1338.47</v>
      </c>
      <c r="S31" s="13">
        <v>1129.67</v>
      </c>
      <c r="T31" s="13">
        <v>1302.93</v>
      </c>
      <c r="U31" s="13">
        <v>1932.7</v>
      </c>
      <c r="V31" s="13">
        <v>2425.6</v>
      </c>
      <c r="W31" s="13">
        <v>2439.8000000000002</v>
      </c>
      <c r="X31" s="13">
        <v>2292.6</v>
      </c>
      <c r="Y31" s="13"/>
      <c r="Z31" s="13"/>
    </row>
    <row r="32" spans="1:26" x14ac:dyDescent="0.2">
      <c r="A32" s="10" t="s">
        <v>1157</v>
      </c>
      <c r="B32" s="10" t="s">
        <v>205</v>
      </c>
      <c r="C32" s="13">
        <v>292.1628</v>
      </c>
      <c r="D32" s="13">
        <v>238.89240000000001</v>
      </c>
      <c r="E32" s="13">
        <v>204.46960000000001</v>
      </c>
      <c r="F32" s="13">
        <v>141.06700000000001</v>
      </c>
      <c r="G32" s="13">
        <v>99.858599999999996</v>
      </c>
      <c r="H32" s="13">
        <v>325.52179999999998</v>
      </c>
      <c r="I32" s="13">
        <v>124.14919999999999</v>
      </c>
      <c r="J32" s="13">
        <v>153.92590000000001</v>
      </c>
      <c r="K32" s="13">
        <v>406.80259999999998</v>
      </c>
      <c r="L32" s="13">
        <v>514.72900000000004</v>
      </c>
      <c r="M32" s="13">
        <v>909.44079999999997</v>
      </c>
      <c r="N32" s="13">
        <v>863.0163</v>
      </c>
      <c r="O32" s="13">
        <v>757.37</v>
      </c>
      <c r="P32" s="13">
        <v>820.61</v>
      </c>
      <c r="Q32" s="13">
        <v>820.31</v>
      </c>
      <c r="R32" s="13">
        <v>1339.37</v>
      </c>
      <c r="S32" s="13">
        <v>1287.3900000000001</v>
      </c>
      <c r="T32" s="13">
        <v>1216.5</v>
      </c>
      <c r="U32" s="13">
        <v>1933.23</v>
      </c>
      <c r="V32" s="13">
        <v>2425.6</v>
      </c>
      <c r="W32" s="13">
        <v>2439.8000000000002</v>
      </c>
      <c r="X32" s="13">
        <v>2292.6</v>
      </c>
      <c r="Y32" s="13"/>
      <c r="Z32" s="13"/>
    </row>
    <row r="33" spans="1:26" x14ac:dyDescent="0.2">
      <c r="A33" s="10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x14ac:dyDescent="0.2">
      <c r="A34" s="6" t="s">
        <v>1168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x14ac:dyDescent="0.2">
      <c r="A35" s="10" t="s">
        <v>1151</v>
      </c>
      <c r="B35" s="10" t="s">
        <v>1169</v>
      </c>
      <c r="C35" s="14" t="s">
        <v>658</v>
      </c>
      <c r="D35" s="14" t="s">
        <v>658</v>
      </c>
      <c r="E35" s="14" t="s">
        <v>658</v>
      </c>
      <c r="F35" s="14" t="s">
        <v>658</v>
      </c>
      <c r="G35" s="14" t="s">
        <v>658</v>
      </c>
      <c r="H35" s="14" t="s">
        <v>658</v>
      </c>
      <c r="I35" s="14" t="s">
        <v>658</v>
      </c>
      <c r="J35" s="14" t="s">
        <v>658</v>
      </c>
      <c r="K35" s="14" t="s">
        <v>658</v>
      </c>
      <c r="L35" s="14" t="s">
        <v>658</v>
      </c>
      <c r="M35" s="14" t="s">
        <v>658</v>
      </c>
      <c r="N35" s="14" t="s">
        <v>658</v>
      </c>
      <c r="O35" s="14" t="s">
        <v>658</v>
      </c>
      <c r="P35" s="14" t="s">
        <v>658</v>
      </c>
      <c r="Q35" s="14" t="s">
        <v>658</v>
      </c>
      <c r="R35" s="14" t="s">
        <v>658</v>
      </c>
      <c r="S35" s="14" t="s">
        <v>658</v>
      </c>
      <c r="T35" s="14" t="s">
        <v>658</v>
      </c>
      <c r="U35" s="14" t="s">
        <v>658</v>
      </c>
      <c r="V35" s="14" t="s">
        <v>658</v>
      </c>
      <c r="W35" s="14" t="s">
        <v>658</v>
      </c>
      <c r="X35" s="14" t="s">
        <v>658</v>
      </c>
      <c r="Y35" s="14">
        <v>37.5</v>
      </c>
      <c r="Z35" s="14">
        <v>37.799999999999997</v>
      </c>
    </row>
    <row r="36" spans="1:26" x14ac:dyDescent="0.2">
      <c r="A36" s="10" t="s">
        <v>1153</v>
      </c>
      <c r="B36" s="10" t="s">
        <v>1170</v>
      </c>
      <c r="C36" s="13" t="s">
        <v>658</v>
      </c>
      <c r="D36" s="13" t="s">
        <v>658</v>
      </c>
      <c r="E36" s="13" t="s">
        <v>658</v>
      </c>
      <c r="F36" s="13" t="s">
        <v>658</v>
      </c>
      <c r="G36" s="13" t="s">
        <v>658</v>
      </c>
      <c r="H36" s="13" t="s">
        <v>658</v>
      </c>
      <c r="I36" s="13" t="s">
        <v>658</v>
      </c>
      <c r="J36" s="13" t="s">
        <v>658</v>
      </c>
      <c r="K36" s="13" t="s">
        <v>658</v>
      </c>
      <c r="L36" s="13" t="s">
        <v>658</v>
      </c>
      <c r="M36" s="13" t="s">
        <v>658</v>
      </c>
      <c r="N36" s="13" t="s">
        <v>658</v>
      </c>
      <c r="O36" s="13" t="s">
        <v>658</v>
      </c>
      <c r="P36" s="13" t="s">
        <v>658</v>
      </c>
      <c r="Q36" s="13" t="s">
        <v>658</v>
      </c>
      <c r="R36" s="13" t="s">
        <v>658</v>
      </c>
      <c r="S36" s="13" t="s">
        <v>658</v>
      </c>
      <c r="T36" s="13" t="s">
        <v>658</v>
      </c>
      <c r="U36" s="13" t="s">
        <v>658</v>
      </c>
      <c r="V36" s="13" t="s">
        <v>658</v>
      </c>
      <c r="W36" s="13" t="s">
        <v>658</v>
      </c>
      <c r="X36" s="13">
        <v>99.803899999999999</v>
      </c>
      <c r="Y36" s="13"/>
      <c r="Z36" s="13"/>
    </row>
    <row r="37" spans="1:26" x14ac:dyDescent="0.2">
      <c r="A37" s="10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x14ac:dyDescent="0.2">
      <c r="A38" s="6" t="s">
        <v>1171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x14ac:dyDescent="0.2">
      <c r="A39" s="10" t="s">
        <v>1151</v>
      </c>
      <c r="B39" s="10" t="s">
        <v>1172</v>
      </c>
      <c r="C39" s="13" t="s">
        <v>658</v>
      </c>
      <c r="D39" s="13" t="s">
        <v>658</v>
      </c>
      <c r="E39" s="13">
        <v>388</v>
      </c>
      <c r="F39" s="13" t="s">
        <v>658</v>
      </c>
      <c r="G39" s="13" t="s">
        <v>658</v>
      </c>
      <c r="H39" s="13" t="s">
        <v>658</v>
      </c>
      <c r="I39" s="13" t="s">
        <v>658</v>
      </c>
      <c r="J39" s="13" t="s">
        <v>658</v>
      </c>
      <c r="K39" s="13" t="s">
        <v>658</v>
      </c>
      <c r="L39" s="13" t="s">
        <v>658</v>
      </c>
      <c r="M39" s="13" t="s">
        <v>658</v>
      </c>
      <c r="N39" s="13" t="s">
        <v>658</v>
      </c>
      <c r="O39" s="13" t="s">
        <v>658</v>
      </c>
      <c r="P39" s="13" t="s">
        <v>658</v>
      </c>
      <c r="Q39" s="13">
        <v>937</v>
      </c>
      <c r="R39" s="13" t="s">
        <v>658</v>
      </c>
      <c r="S39" s="13" t="s">
        <v>658</v>
      </c>
      <c r="T39" s="13" t="s">
        <v>658</v>
      </c>
      <c r="U39" s="13" t="s">
        <v>658</v>
      </c>
      <c r="V39" s="13">
        <v>2298</v>
      </c>
      <c r="W39" s="13">
        <v>2655</v>
      </c>
      <c r="X39" s="13" t="s">
        <v>658</v>
      </c>
      <c r="Y39" s="13">
        <v>3162</v>
      </c>
      <c r="Z39" s="13">
        <v>3608</v>
      </c>
    </row>
    <row r="40" spans="1:26" x14ac:dyDescent="0.2">
      <c r="A40" s="10" t="s">
        <v>1153</v>
      </c>
      <c r="B40" s="10" t="s">
        <v>1173</v>
      </c>
      <c r="C40" s="13" t="s">
        <v>658</v>
      </c>
      <c r="D40" s="13" t="s">
        <v>658</v>
      </c>
      <c r="E40" s="13" t="s">
        <v>658</v>
      </c>
      <c r="F40" s="13" t="s">
        <v>658</v>
      </c>
      <c r="G40" s="13" t="s">
        <v>658</v>
      </c>
      <c r="H40" s="13" t="s">
        <v>658</v>
      </c>
      <c r="I40" s="13" t="s">
        <v>658</v>
      </c>
      <c r="J40" s="13" t="s">
        <v>658</v>
      </c>
      <c r="K40" s="13" t="s">
        <v>658</v>
      </c>
      <c r="L40" s="13" t="s">
        <v>658</v>
      </c>
      <c r="M40" s="13" t="s">
        <v>658</v>
      </c>
      <c r="N40" s="13" t="s">
        <v>658</v>
      </c>
      <c r="O40" s="13" t="s">
        <v>658</v>
      </c>
      <c r="P40" s="13" t="s">
        <v>658</v>
      </c>
      <c r="Q40" s="13" t="s">
        <v>658</v>
      </c>
      <c r="R40" s="13" t="s">
        <v>658</v>
      </c>
      <c r="S40" s="13" t="s">
        <v>658</v>
      </c>
      <c r="T40" s="13" t="s">
        <v>658</v>
      </c>
      <c r="U40" s="13" t="s">
        <v>658</v>
      </c>
      <c r="V40" s="13" t="s">
        <v>658</v>
      </c>
      <c r="W40" s="13">
        <v>2508.1999999999998</v>
      </c>
      <c r="X40" s="13">
        <v>2177.3000000000002</v>
      </c>
      <c r="Y40" s="13"/>
      <c r="Z40" s="13"/>
    </row>
    <row r="41" spans="1:26" x14ac:dyDescent="0.2">
      <c r="A41" s="11" t="s">
        <v>1174</v>
      </c>
      <c r="B41" s="11"/>
      <c r="C41" s="25" t="s">
        <v>658</v>
      </c>
      <c r="D41" s="25" t="s">
        <v>658</v>
      </c>
      <c r="E41" s="25" t="s">
        <v>658</v>
      </c>
      <c r="F41" s="25" t="s">
        <v>658</v>
      </c>
      <c r="G41" s="25" t="s">
        <v>658</v>
      </c>
      <c r="H41" s="25" t="s">
        <v>658</v>
      </c>
      <c r="I41" s="25" t="s">
        <v>658</v>
      </c>
      <c r="J41" s="25" t="s">
        <v>658</v>
      </c>
      <c r="K41" s="25" t="s">
        <v>658</v>
      </c>
      <c r="L41" s="25" t="s">
        <v>658</v>
      </c>
      <c r="M41" s="25" t="s">
        <v>658</v>
      </c>
      <c r="N41" s="25" t="s">
        <v>658</v>
      </c>
      <c r="O41" s="25" t="s">
        <v>658</v>
      </c>
      <c r="P41" s="25" t="s">
        <v>658</v>
      </c>
      <c r="Q41" s="25" t="s">
        <v>658</v>
      </c>
      <c r="R41" s="25" t="s">
        <v>658</v>
      </c>
      <c r="S41" s="25" t="s">
        <v>658</v>
      </c>
      <c r="T41" s="25" t="s">
        <v>658</v>
      </c>
      <c r="U41" s="25" t="s">
        <v>658</v>
      </c>
      <c r="V41" s="25" t="s">
        <v>658</v>
      </c>
      <c r="W41" s="25">
        <v>-5.5291902071563204</v>
      </c>
      <c r="X41" s="25" t="s">
        <v>658</v>
      </c>
      <c r="Y41" s="25"/>
      <c r="Z41" s="25"/>
    </row>
    <row r="42" spans="1:26" x14ac:dyDescent="0.2">
      <c r="A42" s="10" t="s">
        <v>1156</v>
      </c>
      <c r="B42" s="10" t="s">
        <v>155</v>
      </c>
      <c r="C42" s="13">
        <v>289.93599999999998</v>
      </c>
      <c r="D42" s="13">
        <v>248.4676</v>
      </c>
      <c r="E42" s="13">
        <v>216.74109999999999</v>
      </c>
      <c r="F42" s="13">
        <v>143.55109999999999</v>
      </c>
      <c r="G42" s="13">
        <v>124.3935</v>
      </c>
      <c r="H42" s="13">
        <v>329.08049999999997</v>
      </c>
      <c r="I42" s="13">
        <v>263.67950000000002</v>
      </c>
      <c r="J42" s="13">
        <v>224.411</v>
      </c>
      <c r="K42" s="13">
        <v>375.27359999999999</v>
      </c>
      <c r="L42" s="13">
        <v>412.7022</v>
      </c>
      <c r="M42" s="13">
        <v>775.78219999999999</v>
      </c>
      <c r="N42" s="13">
        <v>640.54190000000006</v>
      </c>
      <c r="O42" s="13">
        <v>532.71</v>
      </c>
      <c r="P42" s="13">
        <v>952.81</v>
      </c>
      <c r="Q42" s="13">
        <v>843.89</v>
      </c>
      <c r="R42" s="13">
        <v>1147.51</v>
      </c>
      <c r="S42" s="13">
        <v>878.91</v>
      </c>
      <c r="T42" s="13">
        <v>1093.6300000000001</v>
      </c>
      <c r="U42" s="13">
        <v>1920.49</v>
      </c>
      <c r="V42" s="13">
        <v>2434.1</v>
      </c>
      <c r="W42" s="13">
        <v>2508.1999999999998</v>
      </c>
      <c r="X42" s="13">
        <v>2493</v>
      </c>
      <c r="Y42" s="13"/>
      <c r="Z42" s="13"/>
    </row>
    <row r="43" spans="1:26" x14ac:dyDescent="0.2">
      <c r="A43" s="10" t="s">
        <v>1157</v>
      </c>
      <c r="B43" s="10" t="s">
        <v>155</v>
      </c>
      <c r="C43" s="13">
        <v>289.93599999999998</v>
      </c>
      <c r="D43" s="13">
        <v>248.4676</v>
      </c>
      <c r="E43" s="13">
        <v>216.74109999999999</v>
      </c>
      <c r="F43" s="13">
        <v>143.55109999999999</v>
      </c>
      <c r="G43" s="13">
        <v>124.3935</v>
      </c>
      <c r="H43" s="13">
        <v>329.08049999999997</v>
      </c>
      <c r="I43" s="13">
        <v>263.67950000000002</v>
      </c>
      <c r="J43" s="13">
        <v>224.411</v>
      </c>
      <c r="K43" s="13">
        <v>375.27359999999999</v>
      </c>
      <c r="L43" s="13">
        <v>412.7022</v>
      </c>
      <c r="M43" s="13">
        <v>775.78219999999999</v>
      </c>
      <c r="N43" s="13">
        <v>640.54190000000006</v>
      </c>
      <c r="O43" s="13">
        <v>532.71</v>
      </c>
      <c r="P43" s="13">
        <v>693.9</v>
      </c>
      <c r="Q43" s="13">
        <v>806.7</v>
      </c>
      <c r="R43" s="13">
        <v>1130.1400000000001</v>
      </c>
      <c r="S43" s="13">
        <v>1009.18</v>
      </c>
      <c r="T43" s="13">
        <v>984.99</v>
      </c>
      <c r="U43" s="13">
        <v>1781.57</v>
      </c>
      <c r="V43" s="13">
        <v>2329.1</v>
      </c>
      <c r="W43" s="13">
        <v>2258.3000000000002</v>
      </c>
      <c r="X43" s="13">
        <v>2349.4</v>
      </c>
      <c r="Y43" s="13"/>
      <c r="Z43" s="13"/>
    </row>
    <row r="44" spans="1:26" x14ac:dyDescent="0.2">
      <c r="A44" s="10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x14ac:dyDescent="0.2">
      <c r="A45" s="6" t="s">
        <v>1175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x14ac:dyDescent="0.2">
      <c r="A46" s="10" t="s">
        <v>1151</v>
      </c>
      <c r="B46" s="10" t="s">
        <v>1176</v>
      </c>
      <c r="C46" s="13" t="s">
        <v>658</v>
      </c>
      <c r="D46" s="13" t="s">
        <v>658</v>
      </c>
      <c r="E46" s="13">
        <v>369</v>
      </c>
      <c r="F46" s="13" t="s">
        <v>658</v>
      </c>
      <c r="G46" s="13" t="s">
        <v>658</v>
      </c>
      <c r="H46" s="13" t="s">
        <v>658</v>
      </c>
      <c r="I46" s="13" t="s">
        <v>658</v>
      </c>
      <c r="J46" s="13" t="s">
        <v>658</v>
      </c>
      <c r="K46" s="13" t="s">
        <v>658</v>
      </c>
      <c r="L46" s="13" t="s">
        <v>658</v>
      </c>
      <c r="M46" s="13" t="s">
        <v>658</v>
      </c>
      <c r="N46" s="13" t="s">
        <v>658</v>
      </c>
      <c r="O46" s="13" t="s">
        <v>658</v>
      </c>
      <c r="P46" s="13" t="s">
        <v>658</v>
      </c>
      <c r="Q46" s="13">
        <v>768</v>
      </c>
      <c r="R46" s="13" t="s">
        <v>658</v>
      </c>
      <c r="S46" s="13" t="s">
        <v>658</v>
      </c>
      <c r="T46" s="13" t="s">
        <v>658</v>
      </c>
      <c r="U46" s="13" t="s">
        <v>658</v>
      </c>
      <c r="V46" s="13">
        <v>1837</v>
      </c>
      <c r="W46" s="13">
        <v>2140</v>
      </c>
      <c r="X46" s="13" t="s">
        <v>658</v>
      </c>
      <c r="Y46" s="13">
        <v>2493</v>
      </c>
      <c r="Z46" s="13">
        <v>2850</v>
      </c>
    </row>
    <row r="47" spans="1:26" x14ac:dyDescent="0.2">
      <c r="A47" s="10" t="s">
        <v>1153</v>
      </c>
      <c r="B47" s="10" t="s">
        <v>1177</v>
      </c>
      <c r="C47" s="13" t="s">
        <v>658</v>
      </c>
      <c r="D47" s="13">
        <v>240.11940000000001</v>
      </c>
      <c r="E47" s="13">
        <v>206.6789</v>
      </c>
      <c r="F47" s="13" t="s">
        <v>658</v>
      </c>
      <c r="G47" s="13">
        <v>91.94</v>
      </c>
      <c r="H47" s="13">
        <v>275.35000000000002</v>
      </c>
      <c r="I47" s="13">
        <v>221.92</v>
      </c>
      <c r="J47" s="13">
        <v>207.99</v>
      </c>
      <c r="K47" s="13">
        <v>267.19</v>
      </c>
      <c r="L47" s="13">
        <v>268.17</v>
      </c>
      <c r="M47" s="13">
        <v>486.96</v>
      </c>
      <c r="N47" s="13">
        <v>432.11</v>
      </c>
      <c r="O47" s="13">
        <v>448.32</v>
      </c>
      <c r="P47" s="13">
        <v>711.55399999999997</v>
      </c>
      <c r="Q47" s="13">
        <v>640.85</v>
      </c>
      <c r="R47" s="13">
        <v>745.07</v>
      </c>
      <c r="S47" s="13">
        <v>638.64</v>
      </c>
      <c r="T47" s="13">
        <v>79.745999999999995</v>
      </c>
      <c r="U47" s="13">
        <v>1635.5170000000001</v>
      </c>
      <c r="V47" s="13">
        <v>1889.5</v>
      </c>
      <c r="W47" s="13">
        <v>1981.9</v>
      </c>
      <c r="X47" s="13">
        <v>2050.1999999999998</v>
      </c>
      <c r="Y47" s="13"/>
      <c r="Z47" s="13"/>
    </row>
    <row r="48" spans="1:26" x14ac:dyDescent="0.2">
      <c r="A48" s="11" t="s">
        <v>1178</v>
      </c>
      <c r="B48" s="11"/>
      <c r="C48" s="25" t="s">
        <v>658</v>
      </c>
      <c r="D48" s="25" t="s">
        <v>658</v>
      </c>
      <c r="E48" s="25">
        <v>-43.9894596205962</v>
      </c>
      <c r="F48" s="25" t="s">
        <v>658</v>
      </c>
      <c r="G48" s="25" t="s">
        <v>658</v>
      </c>
      <c r="H48" s="25" t="s">
        <v>658</v>
      </c>
      <c r="I48" s="25" t="s">
        <v>658</v>
      </c>
      <c r="J48" s="25" t="s">
        <v>658</v>
      </c>
      <c r="K48" s="25" t="s">
        <v>658</v>
      </c>
      <c r="L48" s="25" t="s">
        <v>658</v>
      </c>
      <c r="M48" s="25" t="s">
        <v>658</v>
      </c>
      <c r="N48" s="25" t="s">
        <v>658</v>
      </c>
      <c r="O48" s="25" t="s">
        <v>658</v>
      </c>
      <c r="P48" s="25" t="s">
        <v>658</v>
      </c>
      <c r="Q48" s="25">
        <v>-16.5559895833333</v>
      </c>
      <c r="R48" s="25" t="s">
        <v>658</v>
      </c>
      <c r="S48" s="25" t="s">
        <v>658</v>
      </c>
      <c r="T48" s="25" t="s">
        <v>658</v>
      </c>
      <c r="U48" s="25" t="s">
        <v>658</v>
      </c>
      <c r="V48" s="25">
        <v>2.8579205225911801</v>
      </c>
      <c r="W48" s="25">
        <v>-7.3878504672897201</v>
      </c>
      <c r="X48" s="25" t="s">
        <v>658</v>
      </c>
      <c r="Y48" s="25"/>
      <c r="Z48" s="25"/>
    </row>
    <row r="49" spans="1:26" x14ac:dyDescent="0.2">
      <c r="A49" s="10" t="s">
        <v>1156</v>
      </c>
      <c r="B49" s="10" t="s">
        <v>181</v>
      </c>
      <c r="C49" s="13">
        <v>282.32420000000002</v>
      </c>
      <c r="D49" s="13">
        <v>240.11940000000001</v>
      </c>
      <c r="E49" s="13">
        <v>206.6789</v>
      </c>
      <c r="F49" s="13">
        <v>130.74</v>
      </c>
      <c r="G49" s="13">
        <v>91.940700000000007</v>
      </c>
      <c r="H49" s="13">
        <v>254.6251</v>
      </c>
      <c r="I49" s="13">
        <v>221.9263</v>
      </c>
      <c r="J49" s="13">
        <v>207.98949999999999</v>
      </c>
      <c r="K49" s="13">
        <v>267.17320000000001</v>
      </c>
      <c r="L49" s="13">
        <v>268.17189999999999</v>
      </c>
      <c r="M49" s="13">
        <v>486.9667</v>
      </c>
      <c r="N49" s="13">
        <v>432.1062</v>
      </c>
      <c r="O49" s="13">
        <v>448.32</v>
      </c>
      <c r="P49" s="13">
        <v>901.31</v>
      </c>
      <c r="Q49" s="13">
        <v>640.85</v>
      </c>
      <c r="R49" s="13">
        <v>745.07</v>
      </c>
      <c r="S49" s="13">
        <v>637.44000000000005</v>
      </c>
      <c r="T49" s="13">
        <v>797.46</v>
      </c>
      <c r="U49" s="13">
        <v>1574.82</v>
      </c>
      <c r="V49" s="13">
        <v>1889.5</v>
      </c>
      <c r="W49" s="13">
        <v>1981.9</v>
      </c>
      <c r="X49" s="13">
        <v>2050.1999999999998</v>
      </c>
      <c r="Y49" s="13"/>
      <c r="Z49" s="13"/>
    </row>
    <row r="50" spans="1:26" x14ac:dyDescent="0.2">
      <c r="A50" s="10" t="s">
        <v>1157</v>
      </c>
      <c r="B50" s="10" t="s">
        <v>181</v>
      </c>
      <c r="C50" s="13">
        <v>282.32420000000002</v>
      </c>
      <c r="D50" s="13">
        <v>240.11940000000001</v>
      </c>
      <c r="E50" s="13">
        <v>206.6789</v>
      </c>
      <c r="F50" s="13">
        <v>130.74</v>
      </c>
      <c r="G50" s="13">
        <v>91.940700000000007</v>
      </c>
      <c r="H50" s="13">
        <v>254.6251</v>
      </c>
      <c r="I50" s="13">
        <v>221.9263</v>
      </c>
      <c r="J50" s="13">
        <v>207.98949999999999</v>
      </c>
      <c r="K50" s="13">
        <v>267.17320000000001</v>
      </c>
      <c r="L50" s="13">
        <v>268.17189999999999</v>
      </c>
      <c r="M50" s="13">
        <v>486.9667</v>
      </c>
      <c r="N50" s="13">
        <v>432.1062</v>
      </c>
      <c r="O50" s="13">
        <v>448.32</v>
      </c>
      <c r="P50" s="13">
        <v>720.07299999999998</v>
      </c>
      <c r="Q50" s="13">
        <v>614.81700000000001</v>
      </c>
      <c r="R50" s="13">
        <v>732.91099999999994</v>
      </c>
      <c r="S50" s="13">
        <v>728.62900000000002</v>
      </c>
      <c r="T50" s="13">
        <v>721.41200000000003</v>
      </c>
      <c r="U50" s="13">
        <v>1477.576</v>
      </c>
      <c r="V50" s="13">
        <v>1816</v>
      </c>
      <c r="W50" s="13">
        <v>1806.97</v>
      </c>
      <c r="X50" s="13">
        <v>1949.68</v>
      </c>
      <c r="Y50" s="13"/>
      <c r="Z50" s="13"/>
    </row>
    <row r="51" spans="1:26" x14ac:dyDescent="0.2">
      <c r="A51" s="7" t="s">
        <v>112</v>
      </c>
      <c r="B51" s="7"/>
      <c r="C51" s="7" t="s">
        <v>3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35"/>
  <sheetViews>
    <sheetView workbookViewId="0">
      <selection activeCell="B1" sqref="B1:B1048576"/>
    </sheetView>
  </sheetViews>
  <sheetFormatPr baseColWidth="10" defaultColWidth="8.83203125" defaultRowHeight="15" x14ac:dyDescent="0.2"/>
  <cols>
    <col min="1" max="1" width="35.1640625" customWidth="1"/>
    <col min="2" max="2" width="9.33203125" customWidth="1"/>
    <col min="3" max="27" width="11.83203125" customWidth="1"/>
  </cols>
  <sheetData>
    <row r="1" spans="1:2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" x14ac:dyDescent="0.2">
      <c r="A2" s="8" t="s">
        <v>1179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">
      <c r="A4" s="3" t="s">
        <v>6</v>
      </c>
      <c r="B4" s="3"/>
      <c r="C4" s="4" t="s">
        <v>114</v>
      </c>
      <c r="D4" s="4" t="s">
        <v>4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</row>
    <row r="5" spans="1:27" x14ac:dyDescent="0.2">
      <c r="A5" s="9" t="s">
        <v>30</v>
      </c>
      <c r="B5" s="9"/>
      <c r="C5" s="5" t="s">
        <v>116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36</v>
      </c>
      <c r="J5" s="5" t="s">
        <v>37</v>
      </c>
      <c r="K5" s="5" t="s">
        <v>38</v>
      </c>
      <c r="L5" s="5" t="s">
        <v>39</v>
      </c>
      <c r="M5" s="5" t="s">
        <v>40</v>
      </c>
      <c r="N5" s="5" t="s">
        <v>41</v>
      </c>
      <c r="O5" s="5" t="s">
        <v>42</v>
      </c>
      <c r="P5" s="5" t="s">
        <v>43</v>
      </c>
      <c r="Q5" s="5" t="s">
        <v>44</v>
      </c>
      <c r="R5" s="5" t="s">
        <v>45</v>
      </c>
      <c r="S5" s="5" t="s">
        <v>46</v>
      </c>
      <c r="T5" s="5" t="s">
        <v>47</v>
      </c>
      <c r="U5" s="5" t="s">
        <v>48</v>
      </c>
      <c r="V5" s="5" t="s">
        <v>49</v>
      </c>
      <c r="W5" s="5" t="s">
        <v>50</v>
      </c>
      <c r="X5" s="5" t="s">
        <v>51</v>
      </c>
      <c r="Y5" s="5" t="s">
        <v>52</v>
      </c>
      <c r="Z5" s="5" t="s">
        <v>53</v>
      </c>
      <c r="AA5" s="5" t="s">
        <v>54</v>
      </c>
    </row>
    <row r="6" spans="1:27" x14ac:dyDescent="0.2">
      <c r="A6" s="10" t="s">
        <v>1101</v>
      </c>
      <c r="B6" s="10" t="s">
        <v>1102</v>
      </c>
      <c r="C6" s="13" t="s">
        <v>658</v>
      </c>
      <c r="D6" s="13">
        <v>3946.2943</v>
      </c>
      <c r="E6" s="13">
        <v>2583.2307999999998</v>
      </c>
      <c r="F6" s="13">
        <v>2129.4906000000001</v>
      </c>
      <c r="G6" s="13">
        <v>1146.1790000000001</v>
      </c>
      <c r="H6" s="13">
        <v>860.14930000000004</v>
      </c>
      <c r="I6" s="13">
        <v>1827.4294</v>
      </c>
      <c r="J6" s="13">
        <v>1747.8478</v>
      </c>
      <c r="K6" s="13">
        <v>1609.3169</v>
      </c>
      <c r="L6" s="13">
        <v>1553.3150000000001</v>
      </c>
      <c r="M6" s="13">
        <v>2912.0972000000002</v>
      </c>
      <c r="N6" s="13">
        <v>3952.5529999999999</v>
      </c>
      <c r="O6" s="13">
        <v>3171.4742999999999</v>
      </c>
      <c r="P6" s="13">
        <v>7468.8810000000003</v>
      </c>
      <c r="Q6" s="13">
        <v>6021.6747999999998</v>
      </c>
      <c r="R6" s="13">
        <v>6071.7816999999995</v>
      </c>
      <c r="S6" s="13">
        <v>2419.8703</v>
      </c>
      <c r="T6" s="13">
        <v>6799.8059999999996</v>
      </c>
      <c r="U6" s="13">
        <v>17661.221399999999</v>
      </c>
      <c r="V6" s="13">
        <v>16753.401600000001</v>
      </c>
      <c r="W6" s="13">
        <v>31437.3472</v>
      </c>
      <c r="X6" s="13">
        <v>37922.659200000002</v>
      </c>
      <c r="Y6" s="16">
        <v>45009.515223499999</v>
      </c>
      <c r="Z6" s="13"/>
      <c r="AA6" s="13"/>
    </row>
    <row r="7" spans="1:27" x14ac:dyDescent="0.2">
      <c r="A7" s="10" t="s">
        <v>1103</v>
      </c>
      <c r="B7" s="10" t="s">
        <v>1104</v>
      </c>
      <c r="C7" s="13">
        <v>91.010499999999993</v>
      </c>
      <c r="D7" s="13">
        <v>1019.3638999999999</v>
      </c>
      <c r="E7" s="13">
        <v>90.935100000000006</v>
      </c>
      <c r="F7" s="13">
        <v>239.3372</v>
      </c>
      <c r="G7" s="13">
        <v>47.193600000000004</v>
      </c>
      <c r="H7" s="13">
        <v>204.90819999999999</v>
      </c>
      <c r="I7" s="13">
        <v>135.47389999999999</v>
      </c>
      <c r="J7" s="13">
        <v>563.67629999999997</v>
      </c>
      <c r="K7" s="13">
        <v>443.4051</v>
      </c>
      <c r="L7" s="13">
        <v>741.23320000000001</v>
      </c>
      <c r="M7" s="13">
        <v>1078.5999999999999</v>
      </c>
      <c r="N7" s="13">
        <v>1219.2093</v>
      </c>
      <c r="O7" s="13">
        <v>1380.37</v>
      </c>
      <c r="P7" s="13">
        <v>1177.08</v>
      </c>
      <c r="Q7" s="13">
        <v>1056.48</v>
      </c>
      <c r="R7" s="13">
        <v>1188.72</v>
      </c>
      <c r="S7" s="13">
        <v>2242.1799999999998</v>
      </c>
      <c r="T7" s="13">
        <v>2584.52</v>
      </c>
      <c r="U7" s="13">
        <v>4317.1499999999996</v>
      </c>
      <c r="V7" s="13">
        <v>4013</v>
      </c>
      <c r="W7" s="13">
        <v>4582.6000000000004</v>
      </c>
      <c r="X7" s="13">
        <v>3653.3</v>
      </c>
      <c r="Y7" s="16">
        <v>4561.2</v>
      </c>
      <c r="Z7" s="13"/>
      <c r="AA7" s="13"/>
    </row>
    <row r="8" spans="1:27" x14ac:dyDescent="0.2">
      <c r="A8" s="10" t="s">
        <v>1105</v>
      </c>
      <c r="B8" s="10" t="s">
        <v>765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210</v>
      </c>
      <c r="I8" s="13">
        <v>3.5</v>
      </c>
      <c r="J8" s="13">
        <v>20</v>
      </c>
      <c r="K8" s="13">
        <v>20</v>
      </c>
      <c r="L8" s="13">
        <v>20</v>
      </c>
      <c r="M8" s="13">
        <v>791.75810000000001</v>
      </c>
      <c r="N8" s="13">
        <v>771.75810000000001</v>
      </c>
      <c r="O8" s="13">
        <v>771.76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0.1</v>
      </c>
      <c r="X8" s="13">
        <v>0</v>
      </c>
      <c r="Y8" s="16">
        <v>0</v>
      </c>
      <c r="Z8" s="13"/>
      <c r="AA8" s="13"/>
    </row>
    <row r="9" spans="1:27" x14ac:dyDescent="0.2">
      <c r="A9" s="10" t="s">
        <v>1106</v>
      </c>
      <c r="B9" s="10" t="s">
        <v>781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53.957500000000003</v>
      </c>
      <c r="L9" s="13">
        <v>151.78120000000001</v>
      </c>
      <c r="M9" s="13">
        <v>344.7817</v>
      </c>
      <c r="N9" s="13">
        <v>369.84179999999998</v>
      </c>
      <c r="O9" s="13">
        <v>473.1</v>
      </c>
      <c r="P9" s="13">
        <v>259.57</v>
      </c>
      <c r="Q9" s="13">
        <v>363.64</v>
      </c>
      <c r="R9" s="13">
        <v>393.67</v>
      </c>
      <c r="S9" s="13">
        <v>220.15</v>
      </c>
      <c r="T9" s="13">
        <v>-6.94</v>
      </c>
      <c r="U9" s="13">
        <v>-35.86</v>
      </c>
      <c r="V9" s="13">
        <v>-72.099999999999994</v>
      </c>
      <c r="W9" s="13">
        <v>-82.7</v>
      </c>
      <c r="X9" s="13">
        <v>-81.8</v>
      </c>
      <c r="Y9" s="16">
        <v>-82.6</v>
      </c>
      <c r="Z9" s="13"/>
      <c r="AA9" s="13"/>
    </row>
    <row r="10" spans="1:27" x14ac:dyDescent="0.2">
      <c r="A10" s="10" t="s">
        <v>1107</v>
      </c>
      <c r="B10" s="10" t="s">
        <v>1180</v>
      </c>
      <c r="C10" s="13">
        <v>92.140100000000004</v>
      </c>
      <c r="D10" s="13">
        <v>0</v>
      </c>
      <c r="E10" s="13">
        <v>0</v>
      </c>
      <c r="F10" s="13">
        <v>0</v>
      </c>
      <c r="G10" s="13">
        <v>0</v>
      </c>
      <c r="H10" s="13">
        <v>90.927599999999998</v>
      </c>
      <c r="I10" s="13">
        <v>39.161099999999998</v>
      </c>
      <c r="J10" s="13">
        <v>100.75830000000001</v>
      </c>
      <c r="K10" s="13">
        <v>470.9742</v>
      </c>
      <c r="L10" s="13">
        <v>390.0385</v>
      </c>
      <c r="M10" s="13">
        <v>912.59799999999996</v>
      </c>
      <c r="N10" s="13">
        <v>922.16549999999995</v>
      </c>
      <c r="O10" s="13">
        <v>901.12</v>
      </c>
      <c r="P10" s="13">
        <v>289.52</v>
      </c>
      <c r="Q10" s="13">
        <v>657.95</v>
      </c>
      <c r="R10" s="13">
        <v>358.79</v>
      </c>
      <c r="S10" s="13">
        <v>964.64</v>
      </c>
      <c r="T10" s="13">
        <v>0</v>
      </c>
      <c r="U10" s="13">
        <v>480</v>
      </c>
      <c r="V10" s="13">
        <v>0</v>
      </c>
      <c r="W10" s="13">
        <v>0</v>
      </c>
      <c r="X10" s="13">
        <v>1577.6</v>
      </c>
      <c r="Y10" s="16">
        <v>1576.8</v>
      </c>
      <c r="Z10" s="13"/>
      <c r="AA10" s="13"/>
    </row>
    <row r="11" spans="1:27" x14ac:dyDescent="0.2">
      <c r="A11" s="10" t="s">
        <v>107</v>
      </c>
      <c r="B11" s="10" t="s">
        <v>1181</v>
      </c>
      <c r="C11" s="13" t="s">
        <v>658</v>
      </c>
      <c r="D11" s="13">
        <v>2926.9304000000002</v>
      </c>
      <c r="E11" s="13">
        <v>2492.2957000000001</v>
      </c>
      <c r="F11" s="13">
        <v>1890.1533999999999</v>
      </c>
      <c r="G11" s="13">
        <v>1098.9854</v>
      </c>
      <c r="H11" s="13">
        <v>956.16880000000003</v>
      </c>
      <c r="I11" s="13">
        <v>1734.6167</v>
      </c>
      <c r="J11" s="13">
        <v>1304.9297999999999</v>
      </c>
      <c r="K11" s="13">
        <v>1710.8434999999999</v>
      </c>
      <c r="L11" s="13">
        <v>1373.9015999999999</v>
      </c>
      <c r="M11" s="13">
        <v>3882.6351</v>
      </c>
      <c r="N11" s="13">
        <v>4797.1090999999997</v>
      </c>
      <c r="O11" s="13">
        <v>3937.0843</v>
      </c>
      <c r="P11" s="13">
        <v>6840.8909999999996</v>
      </c>
      <c r="Q11" s="13">
        <v>5986.7848000000004</v>
      </c>
      <c r="R11" s="13">
        <v>5635.5217000000002</v>
      </c>
      <c r="S11" s="13">
        <v>1362.4802999999999</v>
      </c>
      <c r="T11" s="13">
        <v>4208.3459999999995</v>
      </c>
      <c r="U11" s="13">
        <v>13788.2114</v>
      </c>
      <c r="V11" s="13">
        <v>12668.301600000001</v>
      </c>
      <c r="W11" s="13">
        <v>26772.147199999999</v>
      </c>
      <c r="X11" s="13">
        <v>35765.159200000002</v>
      </c>
      <c r="Y11" s="16">
        <v>41942.515223499999</v>
      </c>
      <c r="Z11" s="13"/>
      <c r="AA11" s="13"/>
    </row>
    <row r="12" spans="1:27" x14ac:dyDescent="0.2">
      <c r="A12" s="10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5"/>
      <c r="Z12" s="12"/>
      <c r="AA12" s="12"/>
    </row>
    <row r="13" spans="1:27" x14ac:dyDescent="0.2">
      <c r="A13" s="10" t="s">
        <v>1109</v>
      </c>
      <c r="B13" s="10" t="s">
        <v>1182</v>
      </c>
      <c r="C13" s="13">
        <v>750.0299</v>
      </c>
      <c r="D13" s="13">
        <v>1660.8653999999999</v>
      </c>
      <c r="E13" s="13">
        <v>1752.6684</v>
      </c>
      <c r="F13" s="13">
        <v>1820.9494</v>
      </c>
      <c r="G13" s="13">
        <v>1874.1516999999999</v>
      </c>
      <c r="H13" s="13">
        <v>2570.0599000000002</v>
      </c>
      <c r="I13" s="13">
        <v>2429.6900999999998</v>
      </c>
      <c r="J13" s="13">
        <v>2625.0538000000001</v>
      </c>
      <c r="K13" s="13">
        <v>3259.0684999999999</v>
      </c>
      <c r="L13" s="13">
        <v>3540.4047</v>
      </c>
      <c r="M13" s="13">
        <v>5411.1477000000004</v>
      </c>
      <c r="N13" s="13">
        <v>5879.9607999999998</v>
      </c>
      <c r="O13" s="13">
        <v>6345.72</v>
      </c>
      <c r="P13" s="13">
        <v>5855.73</v>
      </c>
      <c r="Q13" s="13">
        <v>6485.39</v>
      </c>
      <c r="R13" s="13">
        <v>7152.02</v>
      </c>
      <c r="S13" s="13">
        <v>8043.72</v>
      </c>
      <c r="T13" s="13">
        <v>7152.45</v>
      </c>
      <c r="U13" s="13">
        <v>9014.2199999999993</v>
      </c>
      <c r="V13" s="13">
        <v>10407.200000000001</v>
      </c>
      <c r="W13" s="13">
        <v>12207.3</v>
      </c>
      <c r="X13" s="13">
        <v>15141.7</v>
      </c>
      <c r="Y13" s="16"/>
      <c r="Z13" s="13"/>
      <c r="AA13" s="13"/>
    </row>
    <row r="14" spans="1:27" x14ac:dyDescent="0.2">
      <c r="A14" s="10" t="s">
        <v>1111</v>
      </c>
      <c r="B14" s="10" t="s">
        <v>1183</v>
      </c>
      <c r="C14" s="14">
        <v>12.2849</v>
      </c>
      <c r="D14" s="14">
        <v>0</v>
      </c>
      <c r="E14" s="14">
        <v>0</v>
      </c>
      <c r="F14" s="14">
        <v>0</v>
      </c>
      <c r="G14" s="14">
        <v>0</v>
      </c>
      <c r="H14" s="14">
        <v>3.5379999999999998</v>
      </c>
      <c r="I14" s="14">
        <v>1.6117999999999999</v>
      </c>
      <c r="J14" s="14">
        <v>3.8382999999999998</v>
      </c>
      <c r="K14" s="14">
        <v>14.4512</v>
      </c>
      <c r="L14" s="14">
        <v>11.0168</v>
      </c>
      <c r="M14" s="14">
        <v>16.865100000000002</v>
      </c>
      <c r="N14" s="14">
        <v>15.683199999999999</v>
      </c>
      <c r="O14" s="14">
        <v>14.2004</v>
      </c>
      <c r="P14" s="14">
        <v>4.9442000000000004</v>
      </c>
      <c r="Q14" s="14">
        <v>10.145099999999999</v>
      </c>
      <c r="R14" s="14">
        <v>5.0166000000000004</v>
      </c>
      <c r="S14" s="14">
        <v>11.9925</v>
      </c>
      <c r="T14" s="14">
        <v>0</v>
      </c>
      <c r="U14" s="14">
        <v>5.3249000000000004</v>
      </c>
      <c r="V14" s="14">
        <v>0</v>
      </c>
      <c r="W14" s="14">
        <v>0</v>
      </c>
      <c r="X14" s="14">
        <v>10.418900000000001</v>
      </c>
      <c r="Y14" s="17"/>
      <c r="Z14" s="14"/>
      <c r="AA14" s="14"/>
    </row>
    <row r="15" spans="1:27" x14ac:dyDescent="0.2">
      <c r="A15" s="10" t="s">
        <v>1113</v>
      </c>
      <c r="B15" s="10" t="s">
        <v>1184</v>
      </c>
      <c r="C15" s="14" t="s">
        <v>658</v>
      </c>
      <c r="D15" s="14">
        <v>0</v>
      </c>
      <c r="E15" s="14">
        <v>0</v>
      </c>
      <c r="F15" s="14">
        <v>0</v>
      </c>
      <c r="G15" s="14">
        <v>0</v>
      </c>
      <c r="H15" s="14">
        <v>9.5100000000000004E-2</v>
      </c>
      <c r="I15" s="14">
        <v>2.2599999999999999E-2</v>
      </c>
      <c r="J15" s="14">
        <v>7.7200000000000005E-2</v>
      </c>
      <c r="K15" s="14">
        <v>0.27529999999999999</v>
      </c>
      <c r="L15" s="14">
        <v>0.28389999999999999</v>
      </c>
      <c r="M15" s="14">
        <v>0.23499999999999999</v>
      </c>
      <c r="N15" s="14">
        <v>0.19220000000000001</v>
      </c>
      <c r="O15" s="14">
        <v>0.22889999999999999</v>
      </c>
      <c r="P15" s="14">
        <v>4.2299999999999997E-2</v>
      </c>
      <c r="Q15" s="14">
        <v>0.1099</v>
      </c>
      <c r="R15" s="14">
        <v>6.3700000000000007E-2</v>
      </c>
      <c r="S15" s="14">
        <v>0.70799999999999996</v>
      </c>
      <c r="T15" s="14">
        <v>0</v>
      </c>
      <c r="U15" s="14">
        <v>3.4799999999999998E-2</v>
      </c>
      <c r="V15" s="14">
        <v>0</v>
      </c>
      <c r="W15" s="14">
        <v>0</v>
      </c>
      <c r="X15" s="14">
        <v>4.41E-2</v>
      </c>
      <c r="Y15" s="17">
        <v>3.7594311919484799E-2</v>
      </c>
      <c r="Z15" s="14"/>
      <c r="AA15" s="14"/>
    </row>
    <row r="16" spans="1:27" x14ac:dyDescent="0.2">
      <c r="A16" s="10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5"/>
      <c r="Z16" s="12"/>
      <c r="AA16" s="12"/>
    </row>
    <row r="17" spans="1:27" x14ac:dyDescent="0.2">
      <c r="A17" s="10" t="s">
        <v>88</v>
      </c>
      <c r="B17" s="10" t="s">
        <v>1185</v>
      </c>
      <c r="C17" s="14" t="s">
        <v>658</v>
      </c>
      <c r="D17" s="14">
        <v>1.9537</v>
      </c>
      <c r="E17" s="14">
        <v>1.7898000000000001</v>
      </c>
      <c r="F17" s="14">
        <v>1.2713000000000001</v>
      </c>
      <c r="G17" s="14">
        <v>0.7611</v>
      </c>
      <c r="H17" s="14">
        <v>0.31859999999999999</v>
      </c>
      <c r="I17" s="14">
        <v>0.68630000000000002</v>
      </c>
      <c r="J17" s="14">
        <v>0.47399999999999998</v>
      </c>
      <c r="K17" s="14">
        <v>0.38719999999999999</v>
      </c>
      <c r="L17" s="14">
        <v>0.24979999999999999</v>
      </c>
      <c r="M17" s="14">
        <v>0.52910000000000001</v>
      </c>
      <c r="N17" s="14">
        <v>0.57940000000000003</v>
      </c>
      <c r="O17" s="14">
        <v>0.4824</v>
      </c>
      <c r="P17" s="14">
        <v>0.78890000000000005</v>
      </c>
      <c r="Q17" s="14">
        <v>0.65769999999999995</v>
      </c>
      <c r="R17" s="14">
        <v>0.49719999999999998</v>
      </c>
      <c r="S17" s="14">
        <v>0.1132</v>
      </c>
      <c r="T17" s="14">
        <v>0.36620000000000003</v>
      </c>
      <c r="U17" s="14">
        <v>1.1479999999999999</v>
      </c>
      <c r="V17" s="14">
        <v>0.86819999999999997</v>
      </c>
      <c r="W17" s="14">
        <v>1.7274</v>
      </c>
      <c r="X17" s="14">
        <v>2.0752999999999999</v>
      </c>
      <c r="Y17" s="17">
        <v>2.13443569716138</v>
      </c>
      <c r="Z17" s="14">
        <v>2.0949260887817802</v>
      </c>
      <c r="AA17" s="14">
        <v>1.9180735914162901</v>
      </c>
    </row>
    <row r="18" spans="1:27" x14ac:dyDescent="0.2">
      <c r="A18" s="10" t="s">
        <v>93</v>
      </c>
      <c r="B18" s="10" t="s">
        <v>1186</v>
      </c>
      <c r="C18" s="14" t="s">
        <v>658</v>
      </c>
      <c r="D18" s="14">
        <v>12.2521</v>
      </c>
      <c r="E18" s="14">
        <v>12.1891</v>
      </c>
      <c r="F18" s="14">
        <v>13.398999999999999</v>
      </c>
      <c r="G18" s="14">
        <v>11.0054</v>
      </c>
      <c r="H18" s="14">
        <v>2.9373</v>
      </c>
      <c r="I18" s="14">
        <v>13.972</v>
      </c>
      <c r="J18" s="14">
        <v>8.4776000000000007</v>
      </c>
      <c r="K18" s="14">
        <v>4.2055999999999996</v>
      </c>
      <c r="L18" s="14">
        <v>2.6692</v>
      </c>
      <c r="M18" s="14">
        <v>4.2693000000000003</v>
      </c>
      <c r="N18" s="14">
        <v>5.5585000000000004</v>
      </c>
      <c r="O18" s="14">
        <v>5.1984000000000004</v>
      </c>
      <c r="P18" s="14">
        <v>8.4618000000000002</v>
      </c>
      <c r="Q18" s="14">
        <v>7.2981999999999996</v>
      </c>
      <c r="R18" s="14">
        <v>4.2103999999999999</v>
      </c>
      <c r="S18" s="14">
        <v>1.3492999999999999</v>
      </c>
      <c r="T18" s="14">
        <v>3.5608</v>
      </c>
      <c r="U18" s="14">
        <v>7.5990000000000002</v>
      </c>
      <c r="V18" s="14">
        <v>5.4598000000000004</v>
      </c>
      <c r="W18" s="14">
        <v>11.4617</v>
      </c>
      <c r="X18" s="14">
        <v>16.584800000000001</v>
      </c>
      <c r="Y18" s="17">
        <v>14.268102879133201</v>
      </c>
      <c r="Z18" s="14">
        <v>11.925651186664799</v>
      </c>
      <c r="AA18" s="14">
        <v>10.779366544204599</v>
      </c>
    </row>
    <row r="19" spans="1:27" x14ac:dyDescent="0.2">
      <c r="A19" s="10" t="s">
        <v>98</v>
      </c>
      <c r="B19" s="10" t="s">
        <v>1187</v>
      </c>
      <c r="C19" s="14" t="s">
        <v>658</v>
      </c>
      <c r="D19" s="14">
        <v>14.285600000000001</v>
      </c>
      <c r="E19" s="14">
        <v>15.341799999999999</v>
      </c>
      <c r="F19" s="14">
        <v>21.573799999999999</v>
      </c>
      <c r="G19" s="14">
        <v>24.7027</v>
      </c>
      <c r="H19" s="14">
        <v>3.9958999999999998</v>
      </c>
      <c r="I19" s="14">
        <v>39.311500000000002</v>
      </c>
      <c r="J19" s="14">
        <v>20.318899999999999</v>
      </c>
      <c r="K19" s="14">
        <v>5.8696999999999999</v>
      </c>
      <c r="L19" s="14">
        <v>3.4830999999999999</v>
      </c>
      <c r="M19" s="14">
        <v>5.1852</v>
      </c>
      <c r="N19" s="14">
        <v>7.3445</v>
      </c>
      <c r="O19" s="14">
        <v>8.0663</v>
      </c>
      <c r="P19" s="14">
        <v>12.785</v>
      </c>
      <c r="Q19" s="14">
        <v>9.7028999999999996</v>
      </c>
      <c r="R19" s="14">
        <v>5.2271999999999998</v>
      </c>
      <c r="S19" s="14">
        <v>1.5992</v>
      </c>
      <c r="T19" s="14">
        <v>4.1016000000000004</v>
      </c>
      <c r="U19" s="14">
        <v>8.7082999999999995</v>
      </c>
      <c r="V19" s="14">
        <v>6.1388999999999996</v>
      </c>
      <c r="W19" s="14">
        <v>12.9754</v>
      </c>
      <c r="X19" s="14">
        <v>19.924900000000001</v>
      </c>
      <c r="Y19" s="17">
        <v>18.663514094023899</v>
      </c>
      <c r="Z19" s="14">
        <v>15.414375311833901</v>
      </c>
      <c r="AA19" s="14">
        <v>13.6531625076497</v>
      </c>
    </row>
    <row r="20" spans="1:27" x14ac:dyDescent="0.2">
      <c r="A20" s="10" t="s">
        <v>1115</v>
      </c>
      <c r="B20" s="10" t="s">
        <v>1188</v>
      </c>
      <c r="C20" s="14" t="s">
        <v>658</v>
      </c>
      <c r="D20" s="14">
        <v>42.9328</v>
      </c>
      <c r="E20" s="14" t="s">
        <v>658</v>
      </c>
      <c r="F20" s="14" t="s">
        <v>658</v>
      </c>
      <c r="G20" s="14" t="s">
        <v>658</v>
      </c>
      <c r="H20" s="14">
        <v>7.5652999999999997</v>
      </c>
      <c r="I20" s="14">
        <v>5.7675000000000001</v>
      </c>
      <c r="J20" s="14">
        <v>9.8340999999999994</v>
      </c>
      <c r="K20" s="14">
        <v>4.6447000000000003</v>
      </c>
      <c r="L20" s="14">
        <v>2.4363999999999999</v>
      </c>
      <c r="M20" s="14">
        <v>38.9039</v>
      </c>
      <c r="N20" s="14">
        <v>8.1118000000000006</v>
      </c>
      <c r="O20" s="14">
        <v>5.3350999999999997</v>
      </c>
      <c r="P20" s="14">
        <v>8.0731999999999999</v>
      </c>
      <c r="Q20" s="14">
        <v>11.4899</v>
      </c>
      <c r="R20" s="14">
        <v>6.3139000000000003</v>
      </c>
      <c r="S20" s="14">
        <v>1.6026</v>
      </c>
      <c r="T20" s="14">
        <v>3.9129</v>
      </c>
      <c r="U20" s="14">
        <v>7.8954000000000004</v>
      </c>
      <c r="V20" s="14">
        <v>9.6385000000000005</v>
      </c>
      <c r="W20" s="14">
        <v>14.1012</v>
      </c>
      <c r="X20" s="14">
        <v>14.929</v>
      </c>
      <c r="Y20" s="17"/>
      <c r="Z20" s="14"/>
      <c r="AA20" s="14"/>
    </row>
    <row r="21" spans="1:27" x14ac:dyDescent="0.2">
      <c r="A21" s="10" t="s">
        <v>1117</v>
      </c>
      <c r="B21" s="10" t="s">
        <v>1189</v>
      </c>
      <c r="C21" s="14" t="s">
        <v>658</v>
      </c>
      <c r="D21" s="14">
        <v>145.1397</v>
      </c>
      <c r="E21" s="14" t="s">
        <v>658</v>
      </c>
      <c r="F21" s="14" t="s">
        <v>658</v>
      </c>
      <c r="G21" s="14" t="s">
        <v>658</v>
      </c>
      <c r="H21" s="14">
        <v>48.872100000000003</v>
      </c>
      <c r="I21" s="14">
        <v>11.1212</v>
      </c>
      <c r="J21" s="14" t="s">
        <v>658</v>
      </c>
      <c r="K21" s="14" t="s">
        <v>658</v>
      </c>
      <c r="L21" s="14">
        <v>3.4984000000000002</v>
      </c>
      <c r="M21" s="14" t="s">
        <v>658</v>
      </c>
      <c r="N21" s="14">
        <v>11.659599999999999</v>
      </c>
      <c r="O21" s="14">
        <v>8.6570999999999998</v>
      </c>
      <c r="P21" s="14">
        <v>12.3591</v>
      </c>
      <c r="Q21" s="14">
        <v>369.86770000000001</v>
      </c>
      <c r="R21" s="14">
        <v>8.9812999999999992</v>
      </c>
      <c r="S21" s="14">
        <v>2.1288</v>
      </c>
      <c r="T21" s="14">
        <v>4.6178999999999997</v>
      </c>
      <c r="U21" s="14">
        <v>9.1773000000000007</v>
      </c>
      <c r="V21" s="14">
        <v>13.8385</v>
      </c>
      <c r="W21" s="14">
        <v>15.426399999999999</v>
      </c>
      <c r="X21" s="14">
        <v>17.561399999999999</v>
      </c>
      <c r="Y21" s="17"/>
      <c r="Z21" s="14"/>
      <c r="AA21" s="14"/>
    </row>
    <row r="22" spans="1:27" x14ac:dyDescent="0.2">
      <c r="A22" s="10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5"/>
      <c r="Z22" s="12"/>
      <c r="AA22" s="12"/>
    </row>
    <row r="23" spans="1:27" x14ac:dyDescent="0.2">
      <c r="A23" s="10" t="s">
        <v>1119</v>
      </c>
      <c r="B23" s="10" t="s">
        <v>1120</v>
      </c>
      <c r="C23" s="13" t="s">
        <v>658</v>
      </c>
      <c r="D23" s="13">
        <v>3906.9621000000002</v>
      </c>
      <c r="E23" s="13">
        <v>2590.3726999999999</v>
      </c>
      <c r="F23" s="13">
        <v>2138.2402999999999</v>
      </c>
      <c r="G23" s="13">
        <v>1153.4634000000001</v>
      </c>
      <c r="H23" s="13">
        <v>862.25170000000003</v>
      </c>
      <c r="I23" s="13">
        <v>1829.1964</v>
      </c>
      <c r="J23" s="13">
        <v>1785.5399</v>
      </c>
      <c r="K23" s="13">
        <v>1663.9168999999999</v>
      </c>
      <c r="L23" s="13">
        <v>1606.0150000000001</v>
      </c>
      <c r="M23" s="13">
        <v>2962.5808000000002</v>
      </c>
      <c r="N23" s="13">
        <v>3968.8654999999999</v>
      </c>
      <c r="O23" s="13">
        <v>3237.5322999999999</v>
      </c>
      <c r="P23" s="13">
        <v>7468.8810000000003</v>
      </c>
      <c r="Q23" s="13">
        <v>6021.6747999999998</v>
      </c>
      <c r="R23" s="13">
        <v>6071.7816999999995</v>
      </c>
      <c r="S23" s="13">
        <v>2419.8703</v>
      </c>
      <c r="T23" s="13">
        <v>6799.8059999999996</v>
      </c>
      <c r="U23" s="13">
        <v>17661.221399999999</v>
      </c>
      <c r="V23" s="13">
        <v>16753.401600000001</v>
      </c>
      <c r="W23" s="13">
        <v>31424.767199999998</v>
      </c>
      <c r="X23" s="13">
        <v>37891.82</v>
      </c>
      <c r="Y23" s="16">
        <v>44972.912964499999</v>
      </c>
      <c r="Z23" s="13"/>
      <c r="AA23" s="13"/>
    </row>
    <row r="24" spans="1:27" x14ac:dyDescent="0.2">
      <c r="A24" s="10" t="s">
        <v>1121</v>
      </c>
      <c r="B24" s="10" t="s">
        <v>1190</v>
      </c>
      <c r="C24" s="13" t="s">
        <v>658</v>
      </c>
      <c r="D24" s="13">
        <v>2953.7910000000002</v>
      </c>
      <c r="E24" s="13">
        <v>2499.8577</v>
      </c>
      <c r="F24" s="13">
        <v>1900.9048</v>
      </c>
      <c r="G24" s="13">
        <v>1106.2699</v>
      </c>
      <c r="H24" s="13">
        <v>958.52809999999999</v>
      </c>
      <c r="I24" s="13">
        <v>1737.1035999999999</v>
      </c>
      <c r="J24" s="13">
        <v>1342.6217999999999</v>
      </c>
      <c r="K24" s="13">
        <v>1765.4435000000001</v>
      </c>
      <c r="L24" s="13">
        <v>1426.6016</v>
      </c>
      <c r="M24" s="13">
        <v>3933.1185999999998</v>
      </c>
      <c r="N24" s="13">
        <v>4813.4215000000004</v>
      </c>
      <c r="O24" s="13">
        <v>4003.1423</v>
      </c>
      <c r="P24" s="13">
        <v>6840.8909999999996</v>
      </c>
      <c r="Q24" s="13">
        <v>5986.7848000000004</v>
      </c>
      <c r="R24" s="13">
        <v>5635.5217000000002</v>
      </c>
      <c r="S24" s="13">
        <v>1362.4802999999999</v>
      </c>
      <c r="T24" s="13">
        <v>4208.3459999999995</v>
      </c>
      <c r="U24" s="13">
        <v>13788.012699999999</v>
      </c>
      <c r="V24" s="13">
        <v>12668.301600000001</v>
      </c>
      <c r="W24" s="13">
        <v>26772.147199999999</v>
      </c>
      <c r="X24" s="13">
        <v>35765.159200000002</v>
      </c>
      <c r="Y24" s="16"/>
      <c r="Z24" s="13"/>
      <c r="AA24" s="13"/>
    </row>
    <row r="25" spans="1:27" x14ac:dyDescent="0.2">
      <c r="A25" s="10" t="s">
        <v>1123</v>
      </c>
      <c r="B25" s="10" t="s">
        <v>1191</v>
      </c>
      <c r="C25" s="14" t="s">
        <v>658</v>
      </c>
      <c r="D25" s="14">
        <v>72.092399999999998</v>
      </c>
      <c r="E25" s="14">
        <v>61.3611</v>
      </c>
      <c r="F25" s="14">
        <v>46.421900000000001</v>
      </c>
      <c r="G25" s="14">
        <v>26.9909</v>
      </c>
      <c r="H25" s="14">
        <v>16.229800000000001</v>
      </c>
      <c r="I25" s="14">
        <v>29.4255</v>
      </c>
      <c r="J25" s="14">
        <v>22.136500000000002</v>
      </c>
      <c r="K25" s="14">
        <v>29.022300000000001</v>
      </c>
      <c r="L25" s="14">
        <v>23.3065</v>
      </c>
      <c r="M25" s="14">
        <v>65.863900000000001</v>
      </c>
      <c r="N25" s="14">
        <v>81.376800000000003</v>
      </c>
      <c r="O25" s="14">
        <v>66.787599999999998</v>
      </c>
      <c r="P25" s="14">
        <v>116.047</v>
      </c>
      <c r="Q25" s="14">
        <v>101.5581</v>
      </c>
      <c r="R25" s="14">
        <v>95.599400000000003</v>
      </c>
      <c r="S25" s="14">
        <v>23.1127</v>
      </c>
      <c r="T25" s="14">
        <v>71.389200000000002</v>
      </c>
      <c r="U25" s="14">
        <v>233.89930000000001</v>
      </c>
      <c r="V25" s="14">
        <v>214.9015</v>
      </c>
      <c r="W25" s="14">
        <v>453.73419999999999</v>
      </c>
      <c r="X25" s="14">
        <v>605.09799999999996</v>
      </c>
      <c r="Y25" s="17">
        <v>709.610516445185</v>
      </c>
      <c r="Z25" s="14"/>
      <c r="AA25" s="14"/>
    </row>
    <row r="26" spans="1:27" x14ac:dyDescent="0.2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5"/>
      <c r="Z26" s="12"/>
      <c r="AA26" s="12"/>
    </row>
    <row r="27" spans="1:27" x14ac:dyDescent="0.2">
      <c r="A27" s="10" t="s">
        <v>2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5"/>
      <c r="Z27" s="12"/>
      <c r="AA27" s="12"/>
    </row>
    <row r="28" spans="1:27" x14ac:dyDescent="0.2">
      <c r="A28" s="11" t="s">
        <v>1125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7"/>
      <c r="Z28" s="24"/>
      <c r="AA28" s="24"/>
    </row>
    <row r="29" spans="1:27" x14ac:dyDescent="0.2">
      <c r="A29" s="10" t="s">
        <v>1126</v>
      </c>
      <c r="B29" s="10" t="s">
        <v>1127</v>
      </c>
      <c r="C29" s="12" t="s">
        <v>1128</v>
      </c>
      <c r="D29" s="12" t="s">
        <v>1128</v>
      </c>
      <c r="E29" s="12" t="s">
        <v>1128</v>
      </c>
      <c r="F29" s="12" t="s">
        <v>1128</v>
      </c>
      <c r="G29" s="12" t="s">
        <v>1128</v>
      </c>
      <c r="H29" s="12" t="s">
        <v>1128</v>
      </c>
      <c r="I29" s="12" t="s">
        <v>1128</v>
      </c>
      <c r="J29" s="12" t="s">
        <v>1128</v>
      </c>
      <c r="K29" s="12" t="s">
        <v>1128</v>
      </c>
      <c r="L29" s="12" t="s">
        <v>1128</v>
      </c>
      <c r="M29" s="12" t="s">
        <v>1128</v>
      </c>
      <c r="N29" s="12" t="s">
        <v>1128</v>
      </c>
      <c r="O29" s="12" t="s">
        <v>1128</v>
      </c>
      <c r="P29" s="12" t="s">
        <v>1128</v>
      </c>
      <c r="Q29" s="12" t="s">
        <v>1128</v>
      </c>
      <c r="R29" s="12" t="s">
        <v>1128</v>
      </c>
      <c r="S29" s="12" t="s">
        <v>1129</v>
      </c>
      <c r="T29" s="12" t="s">
        <v>1129</v>
      </c>
      <c r="U29" s="12" t="s">
        <v>1129</v>
      </c>
      <c r="V29" s="12" t="s">
        <v>1129</v>
      </c>
      <c r="W29" s="12" t="s">
        <v>1129</v>
      </c>
      <c r="X29" s="12" t="s">
        <v>1129</v>
      </c>
      <c r="Y29" s="15" t="s">
        <v>1129</v>
      </c>
      <c r="Z29" s="12"/>
      <c r="AA29" s="12"/>
    </row>
    <row r="30" spans="1:27" x14ac:dyDescent="0.2">
      <c r="A30" s="10" t="s">
        <v>1130</v>
      </c>
      <c r="B30" s="10" t="s">
        <v>1131</v>
      </c>
      <c r="C30" s="13">
        <v>1031.0623000000001</v>
      </c>
      <c r="D30" s="13">
        <v>1498.1786</v>
      </c>
      <c r="E30" s="13">
        <v>1392.4862000000001</v>
      </c>
      <c r="F30" s="13">
        <v>1486.7352000000001</v>
      </c>
      <c r="G30" s="13">
        <v>1443.8706999999999</v>
      </c>
      <c r="H30" s="13">
        <v>3001.4675000000002</v>
      </c>
      <c r="I30" s="13">
        <v>2527.5346</v>
      </c>
      <c r="J30" s="13">
        <v>2753.2278999999999</v>
      </c>
      <c r="K30" s="13">
        <v>4418.9156999999996</v>
      </c>
      <c r="L30" s="13">
        <v>5500.0391</v>
      </c>
      <c r="M30" s="13">
        <v>7338.0617000000002</v>
      </c>
      <c r="N30" s="13">
        <v>8279.9478999999992</v>
      </c>
      <c r="O30" s="13">
        <v>8161.78</v>
      </c>
      <c r="P30" s="13">
        <v>8671.24</v>
      </c>
      <c r="Q30" s="13">
        <v>9102.69</v>
      </c>
      <c r="R30" s="13">
        <v>11334.9</v>
      </c>
      <c r="S30" s="13">
        <v>12033.24</v>
      </c>
      <c r="T30" s="13">
        <v>11490.53</v>
      </c>
      <c r="U30" s="13">
        <v>12010.47</v>
      </c>
      <c r="V30" s="13">
        <v>14591.9</v>
      </c>
      <c r="W30" s="13">
        <v>15498.9</v>
      </c>
      <c r="X30" s="13">
        <v>17233.599999999999</v>
      </c>
      <c r="Y30" s="16">
        <v>19650.400000000001</v>
      </c>
      <c r="Z30" s="13">
        <v>20021</v>
      </c>
      <c r="AA30" s="13">
        <v>21867</v>
      </c>
    </row>
    <row r="31" spans="1:27" x14ac:dyDescent="0.2">
      <c r="A31" s="10" t="s">
        <v>205</v>
      </c>
      <c r="B31" s="10" t="s">
        <v>1192</v>
      </c>
      <c r="C31" s="13">
        <v>292.1628</v>
      </c>
      <c r="D31" s="13">
        <v>238.89240000000001</v>
      </c>
      <c r="E31" s="13">
        <v>204.46960000000001</v>
      </c>
      <c r="F31" s="13">
        <v>141.06700000000001</v>
      </c>
      <c r="G31" s="13">
        <v>99.858599999999996</v>
      </c>
      <c r="H31" s="13">
        <v>325.52179999999998</v>
      </c>
      <c r="I31" s="13">
        <v>124.14919999999999</v>
      </c>
      <c r="J31" s="13">
        <v>153.92590000000001</v>
      </c>
      <c r="K31" s="13">
        <v>406.80259999999998</v>
      </c>
      <c r="L31" s="13">
        <v>514.72900000000004</v>
      </c>
      <c r="M31" s="13">
        <v>909.44079999999997</v>
      </c>
      <c r="N31" s="13">
        <v>863.0163</v>
      </c>
      <c r="O31" s="13">
        <v>757.37</v>
      </c>
      <c r="P31" s="13">
        <v>808.44</v>
      </c>
      <c r="Q31" s="13">
        <v>820.31</v>
      </c>
      <c r="R31" s="13">
        <v>1338.47</v>
      </c>
      <c r="S31" s="13">
        <v>1009.8</v>
      </c>
      <c r="T31" s="13">
        <v>1181.8599999999999</v>
      </c>
      <c r="U31" s="13">
        <v>1814.48</v>
      </c>
      <c r="V31" s="13">
        <v>2320.3000000000002</v>
      </c>
      <c r="W31" s="13">
        <v>2335.8000000000002</v>
      </c>
      <c r="X31" s="13">
        <v>2156.5</v>
      </c>
      <c r="Y31" s="16">
        <v>2953.9</v>
      </c>
      <c r="Z31" s="13">
        <v>3517</v>
      </c>
      <c r="AA31" s="13">
        <v>3891</v>
      </c>
    </row>
    <row r="32" spans="1:27" x14ac:dyDescent="0.2">
      <c r="A32" s="10" t="s">
        <v>209</v>
      </c>
      <c r="B32" s="10" t="s">
        <v>1193</v>
      </c>
      <c r="C32" s="13">
        <v>262.91609999999997</v>
      </c>
      <c r="D32" s="13">
        <v>204.88740000000001</v>
      </c>
      <c r="E32" s="13">
        <v>162.45099999999999</v>
      </c>
      <c r="F32" s="13">
        <v>87.613299999999995</v>
      </c>
      <c r="G32" s="13">
        <v>44.488399999999999</v>
      </c>
      <c r="H32" s="13">
        <v>239.28909999999999</v>
      </c>
      <c r="I32" s="13">
        <v>44.124899999999997</v>
      </c>
      <c r="J32" s="13">
        <v>64.222399999999993</v>
      </c>
      <c r="K32" s="13">
        <v>291.47160000000002</v>
      </c>
      <c r="L32" s="13">
        <v>394.44619999999998</v>
      </c>
      <c r="M32" s="13">
        <v>748.79700000000003</v>
      </c>
      <c r="N32" s="13">
        <v>653.15750000000003</v>
      </c>
      <c r="O32" s="13">
        <v>488.09</v>
      </c>
      <c r="P32" s="13">
        <v>535.07000000000005</v>
      </c>
      <c r="Q32" s="13">
        <v>617.01</v>
      </c>
      <c r="R32" s="13">
        <v>1078.1199999999999</v>
      </c>
      <c r="S32" s="13">
        <v>851.95</v>
      </c>
      <c r="T32" s="13">
        <v>1026.03</v>
      </c>
      <c r="U32" s="13">
        <v>1583.34</v>
      </c>
      <c r="V32" s="13">
        <v>2063.6</v>
      </c>
      <c r="W32" s="13">
        <v>2063.3000000000002</v>
      </c>
      <c r="X32" s="13">
        <v>1795</v>
      </c>
      <c r="Y32" s="16">
        <v>2139.8000000000002</v>
      </c>
      <c r="Z32" s="13">
        <v>2721</v>
      </c>
      <c r="AA32" s="13">
        <v>3072</v>
      </c>
    </row>
    <row r="33" spans="1:27" x14ac:dyDescent="0.2">
      <c r="A33" s="10" t="s">
        <v>1134</v>
      </c>
      <c r="B33" s="10" t="s">
        <v>1194</v>
      </c>
      <c r="C33" s="13">
        <v>229.636</v>
      </c>
      <c r="D33" s="13">
        <v>68.174700000000001</v>
      </c>
      <c r="E33" s="13" t="s">
        <v>658</v>
      </c>
      <c r="F33" s="13" t="s">
        <v>658</v>
      </c>
      <c r="G33" s="13" t="s">
        <v>658</v>
      </c>
      <c r="H33" s="13">
        <v>126.3891</v>
      </c>
      <c r="I33" s="13">
        <v>300.75630000000001</v>
      </c>
      <c r="J33" s="13">
        <v>132.69460000000001</v>
      </c>
      <c r="K33" s="13">
        <v>368.34500000000003</v>
      </c>
      <c r="L33" s="13">
        <v>563.91510000000005</v>
      </c>
      <c r="M33" s="13">
        <v>99.800600000000003</v>
      </c>
      <c r="N33" s="13">
        <v>591.37549999999999</v>
      </c>
      <c r="O33" s="13">
        <v>737.96079999999995</v>
      </c>
      <c r="P33" s="13">
        <v>847.36120000000005</v>
      </c>
      <c r="Q33" s="13">
        <v>521.04629999999997</v>
      </c>
      <c r="R33" s="13">
        <v>892.55219999999997</v>
      </c>
      <c r="S33" s="13">
        <v>850.15269999999998</v>
      </c>
      <c r="T33" s="13">
        <v>1075.4960000000001</v>
      </c>
      <c r="U33" s="13">
        <v>1746.3566000000001</v>
      </c>
      <c r="V33" s="13">
        <v>1314.3398</v>
      </c>
      <c r="W33" s="13">
        <v>1898.5725</v>
      </c>
      <c r="X33" s="13">
        <v>2395.6790000000001</v>
      </c>
      <c r="Y33" s="16"/>
      <c r="Z33" s="13"/>
      <c r="AA33" s="13"/>
    </row>
    <row r="34" spans="1:27" x14ac:dyDescent="0.2">
      <c r="A34" s="10" t="s">
        <v>1136</v>
      </c>
      <c r="B34" s="10" t="s">
        <v>1195</v>
      </c>
      <c r="C34" s="13">
        <v>195.137</v>
      </c>
      <c r="D34" s="13">
        <v>20.1663</v>
      </c>
      <c r="E34" s="13" t="s">
        <v>658</v>
      </c>
      <c r="F34" s="13" t="s">
        <v>658</v>
      </c>
      <c r="G34" s="13" t="s">
        <v>658</v>
      </c>
      <c r="H34" s="13">
        <v>19.564699999999998</v>
      </c>
      <c r="I34" s="13">
        <v>155.97450000000001</v>
      </c>
      <c r="J34" s="13">
        <v>-23.593599999999999</v>
      </c>
      <c r="K34" s="13">
        <v>-524.26919999999996</v>
      </c>
      <c r="L34" s="13">
        <v>392.72269999999997</v>
      </c>
      <c r="M34" s="13">
        <v>-847.50390000000004</v>
      </c>
      <c r="N34" s="13">
        <v>411.42919999999998</v>
      </c>
      <c r="O34" s="13">
        <v>454.7808</v>
      </c>
      <c r="P34" s="13">
        <v>553.51120000000003</v>
      </c>
      <c r="Q34" s="13">
        <v>16.186299999999999</v>
      </c>
      <c r="R34" s="13">
        <v>627.47220000000004</v>
      </c>
      <c r="S34" s="13">
        <v>640.0127</v>
      </c>
      <c r="T34" s="13">
        <v>911.31600000000003</v>
      </c>
      <c r="U34" s="13">
        <v>1502.4266</v>
      </c>
      <c r="V34" s="13">
        <v>915.43979999999999</v>
      </c>
      <c r="W34" s="13">
        <v>1735.4725000000001</v>
      </c>
      <c r="X34" s="13">
        <v>2036.579</v>
      </c>
      <c r="Y34" s="16"/>
      <c r="Z34" s="13"/>
      <c r="AA34" s="13"/>
    </row>
    <row r="35" spans="1:27" x14ac:dyDescent="0.2">
      <c r="A35" s="7" t="s">
        <v>112</v>
      </c>
      <c r="B35" s="7"/>
      <c r="C35" s="7" t="s">
        <v>3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Multiples</vt:lpstr>
      <vt:lpstr>Income - GAAP</vt:lpstr>
      <vt:lpstr>Bal Sheet - As Reported</vt:lpstr>
      <vt:lpstr>Bal Sheet - Common Size</vt:lpstr>
      <vt:lpstr>Cash Flow - As Reported</vt:lpstr>
      <vt:lpstr>Profitability</vt:lpstr>
      <vt:lpstr>Growth</vt:lpstr>
      <vt:lpstr>Enterprise Value</vt:lpstr>
      <vt:lpstr>Stock Value</vt:lpstr>
      <vt:lpstr>Earnings</vt:lpstr>
      <vt:lpstr>EV Ex Operating Leases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Girish Mohan</cp:lastModifiedBy>
  <dcterms:created xsi:type="dcterms:W3CDTF">2013-04-03T15:49:21Z</dcterms:created>
  <dcterms:modified xsi:type="dcterms:W3CDTF">2026-02-06T11:58:32Z</dcterms:modified>
</cp:coreProperties>
</file>